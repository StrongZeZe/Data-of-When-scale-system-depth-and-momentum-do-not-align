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1b152c992949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Audit" sheetId="1" r:id="R0e8c7bf56a5e4ecb"/>
    <x:sheet xmlns:r="http://schemas.openxmlformats.org/officeDocument/2006/relationships" name="Coverage_Summary" sheetId="2" r:id="Rb1921925a1c042ef"/>
    <x:sheet xmlns:r="http://schemas.openxmlformats.org/officeDocument/2006/relationships" name="External_Variables_54" sheetId="3" r:id="R4aa8813ed3b84416"/>
    <x:sheet xmlns:r="http://schemas.openxmlformats.org/officeDocument/2006/relationships" name="Missing_Detail" sheetId="4" r:id="R91bd440b9ca446ed"/>
    <x:sheet xmlns:r="http://schemas.openxmlformats.org/officeDocument/2006/relationships" name="Rent_Zero_vs_Missing" sheetId="5" r:id="R70aef1b7f7574c9c"/>
    <x:sheet xmlns:r="http://schemas.openxmlformats.org/officeDocument/2006/relationships" name="Data_Dictionary" sheetId="6" r:id="R04dab4dd2ad94366"/>
    <x:sheet xmlns:r="http://schemas.openxmlformats.org/officeDocument/2006/relationships" name="Sources" sheetId="7" r:id="R7cb6bb49a1454461"/>
    <x:sheet xmlns:r="http://schemas.openxmlformats.org/officeDocument/2006/relationships" name="Completion_Summary" sheetId="8" r:id="R192b3b0af8324656"/>
    <x:sheet xmlns:r="http://schemas.openxmlformats.org/officeDocument/2006/relationships" name="Fill_Decisions" sheetId="9" r:id="R56458f4fcf1b4c19"/>
    <x:sheet xmlns:r="http://schemas.openxmlformats.org/officeDocument/2006/relationships" name="Analysis_Ready_54" sheetId="10" r:id="R19fed22b39e743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0.0000"/>
    <x:numFmt numFmtId="200" formatCode="0"/>
    <x:numFmt numFmtId="201" formatCode="0.000"/>
    <x:numFmt numFmtId="202" formatCode="#,##0"/>
    <x:numFmt numFmtId="203" formatCode="#,##0.00"/>
  </x:numFmts>
  <x:fonts count="6">
    <x:font>
      <x:sz val="11"/>
      <x:color theme="1"/>
      <x:name val="Calibri"/>
    </x:font>
    <x:font>
      <x:b/>
      <x:sz val="16"/>
      <x:color rgb="FFFFFFFF"/>
    </x:font>
    <x:font>
      <x:b/>
      <x:color rgb="FF1F1F1F"/>
    </x:font>
    <x:font>
      <x:b/>
      <x:color rgb="FFFFFFFF"/>
    </x:font>
    <x:font>
      <x:b/>
      <x:sz val="11"/>
      <x:color rgb="FF1F1F1F"/>
      <x:name val="Calibri"/>
    </x:font>
    <x:font>
      <x:b/>
      <x:sz val="11"/>
      <x:color rgb="FFFFFFFF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A5A5A5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3">
    <x:border/>
    <x:border>
      <x:bottom style="thin">
        <x:color rgb="FFD9E1F2"/>
      </x:bottom>
    </x:border>
    <x:border/>
  </x:borders>
  <x:cellStyleXfs count="1">
    <x:xf numFmtId="0" fontId="0" fillId="0" borderId="0"/>
  </x:cellStyleXfs>
  <x:cellXfs count="63">
    <x:xf numFmtId="0" fontId="0" fillId="0" borderId="0" xfId="0"/>
    <x:xf numFmtId="0" fontId="1" fillId="2" borderId="0" xfId="0" applyAlignment="1">
      <x:alignment vertical="top"/>
    </x:xf>
    <x:xf numFmtId="0" fontId="0" fillId="0" borderId="0" xfId="0" applyAlignment="1">
      <x:alignment vertical="top"/>
    </x:xf>
    <x:xf numFmtId="0" fontId="2" fillId="3" borderId="0" xfId="0" applyAlignment="1">
      <x:alignment vertical="top"/>
    </x:xf>
    <x:xf numFmtId="0" fontId="0" fillId="0" borderId="0" xfId="0" applyAlignment="1">
      <x:alignment vertical="top" wrapText="1"/>
    </x:xf>
    <x:xf numFmtId="0" fontId="3" fillId="2" borderId="1" xfId="0" applyAlignment="1">
      <x:alignment vertical="top" wrapText="1"/>
    </x:xf>
    <x:xf numFmtId="0" fontId="3" fillId="2" borderId="1" xfId="0" applyAlignment="1">
      <x:alignment vertical="top"/>
    </x:xf>
    <x:xf numFmtId="0" fontId="3" fillId="4" borderId="1" xfId="0" applyAlignment="1">
      <x:alignment vertical="top"/>
    </x:xf>
    <x:xf numFmtId="0" fontId="3" fillId="5" borderId="1" xfId="0" applyAlignment="1">
      <x:alignment vertical="top"/>
    </x:xf>
    <x:xf numFmtId="0" fontId="3" fillId="6" borderId="1" xfId="0" applyAlignment="1">
      <x:alignment vertical="top"/>
    </x:xf>
    <x:xf numFmtId="0" fontId="3" fillId="7" borderId="1" xfId="0" applyAlignment="1">
      <x:alignment vertical="top"/>
    </x:xf>
    <x:xf numFmtId="0" fontId="0" fillId="0" borderId="0" xfId="0" applyAlignment="1">
      <x:alignment vertical="top"/>
    </x:xf>
    <x:xf numFmtId="164" fontId="0" fillId="0" borderId="0" xfId="0" applyAlignment="1">
      <x:alignment vertical="top"/>
    </x:xf>
    <x:xf numFmtId="4" fontId="0" fillId="0" borderId="0" xfId="0" applyAlignment="1">
      <x:alignment vertical="top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/>
    </x:xf>
    <x:xf numFmtId="0" fontId="3" fillId="5" borderId="1" xfId="0" applyNumberFormat="1" applyFont="1" applyFill="1" applyBorder="1" applyAlignment="1">
      <x:alignment vertical="top"/>
    </x:xf>
    <x:xf numFmtId="0" fontId="3" fillId="6" borderId="1" xfId="0" applyNumberFormat="1" applyFont="1" applyFill="1" applyBorder="1" applyAlignment="1">
      <x:alignment vertical="top"/>
    </x:xf>
    <x:xf numFmtId="0" fontId="3" fillId="7" borderId="1" xfId="0" applyNumberFormat="1" applyFont="1" applyFill="1" applyBorder="1" applyAlignment="1">
      <x:alignment vertical="top"/>
    </x:xf>
    <x:xf numFmtId="164" fontId="0" fillId="0" borderId="2" xfId="0" applyNumberFormat="1" applyFont="1" applyFill="1" applyBorder="1" applyAlignment="1">
      <x:alignment vertical="top"/>
    </x:xf>
    <x:xf numFmtId="4" fontId="0" fillId="0" borderId="2" xfId="0" applyNumberFormat="1" applyFont="1" applyFill="1" applyBorder="1" applyAlignment="1">
      <x:alignment vertical="top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0" fontId="0" fillId="8" borderId="2" xfId="0" applyNumberFormat="1" applyFont="1" applyFill="1" applyBorder="1"/>
    <x:xf numFmtId="0" fontId="4" fillId="8" borderId="2" xfId="0" applyNumberFormat="1" applyFont="1" applyFill="1" applyBorder="1"/>
    <x:xf numFmtId="0" fontId="4" fillId="8" borderId="2" xfId="0" applyNumberFormat="1" applyFont="1" applyFill="1" applyBorder="1" applyAlignment="1">
      <x:alignment wrapText="1"/>
    </x:xf>
    <x:xf numFmtId="0" fontId="4" fillId="8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horizont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0" fillId="9" borderId="2" xfId="0" applyNumberFormat="1" applyFont="1" applyFill="1" applyBorder="1"/>
    <x:xf numFmtId="0" fontId="5" fillId="9" borderId="2" xfId="0" applyNumberFormat="1" applyFont="1" applyFill="1" applyBorder="1"/>
    <x:xf numFmtId="0" fontId="5" fillId="9" borderId="2" xfId="0" applyNumberFormat="1" applyFont="1" applyFill="1" applyBorder="1" applyAlignment="1">
      <x:alignment wrapText="1"/>
    </x:xf>
    <x:xf numFmtId="0" fontId="5" fillId="9" borderId="2" xfId="0" applyNumberFormat="1" applyFont="1" applyFill="1" applyBorder="1" applyAlignment="1">
      <x:alignment horizontal="center" wrapText="1"/>
    </x:xf>
    <x:xf numFmtId="0" fontId="5" fillId="9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0"/>
    </x:xf>
    <x:xf numFmtId="201" fontId="0" fillId="0" borderId="2" xfId="0" applyNumberFormat="1" applyFont="1" applyFill="1" applyBorder="1" applyAlignment="1">
      <x:alignment wrapText="0"/>
    </x:xf>
    <x:xf numFmtId="0" fontId="5" fillId="9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5" fillId="9" borderId="2" xfId="0" applyNumberFormat="1" applyFont="1" applyFill="1" applyBorder="1" applyAlignment="1">
      <x:alignment horizontal="center" vertical="center" wrapText="0"/>
    </x:xf>
    <x:xf numFmtId="0" fontId="0" fillId="0" borderId="2" xfId="0" applyNumberFormat="1" applyFont="1" applyFill="1" applyBorder="1" applyAlignment="1">
      <x:alignment wrapText="0"/>
    </x:xf>
    <x:xf numFmtId="164" fontId="0" fillId="0" borderId="0" xfId="0" applyNumberFormat="1" applyFont="1" applyFill="1" applyBorder="1" applyAlignment="1">
      <x:alignment wrapText="0"/>
    </x:xf>
    <x:xf numFmtId="164" fontId="0" fillId="0" borderId="2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2" xfId="0" applyNumberFormat="1" applyFont="1" applyFill="1" applyBorder="1" applyAlignment="1">
      <x:alignment wrapText="0"/>
    </x:xf>
    <x:xf numFmtId="203" fontId="0" fillId="0" borderId="0" xfId="0" applyNumberFormat="1" applyFont="1" applyFill="1" applyBorder="1" applyAlignment="1">
      <x:alignment wrapText="0"/>
    </x:xf>
    <x:xf numFmtId="203" fontId="0" fillId="0" borderId="2" xfId="0" applyNumberFormat="1" applyFont="1" applyFill="1" applyBorder="1" applyAlignment="1">
      <x:alignment wrapText="0"/>
    </x:xf>
  </x:cellXfs>
  <x:cellStyles count="1">
    <x:cellStyle name="Normal" xfId="0"/>
  </x:cellStyles>
  <x:dxfs count="4">
    <x:dxf>
      <x:fill>
        <x:patternFill>
          <x:bgColor rgb="00FCE4D6"/>
        </x:patternFill>
      </x:fill>
    </x:dxf>
    <x:dxf>
      <x:fill>
        <x:patternFill>
          <x:bgColor rgb="00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dba203aeae4b2c" /><Relationship Type="http://schemas.openxmlformats.org/officeDocument/2006/relationships/theme" Target="/xl/theme/theme1.xml" Id="R0be10b90685e410f" /><Relationship Type="http://schemas.openxmlformats.org/officeDocument/2006/relationships/sharedStrings" Target="/xl/sharedStrings.xml" Id="R9b4821b1348b4d24" /><Relationship Type="http://schemas.openxmlformats.org/officeDocument/2006/relationships/worksheet" Target="/xl/worksheets/sheet1.xml" Id="R0e8c7bf56a5e4ecb" /><Relationship Type="http://schemas.openxmlformats.org/officeDocument/2006/relationships/worksheet" Target="/xl/worksheets/sheet2.xml" Id="Rb1921925a1c042ef" /><Relationship Type="http://schemas.openxmlformats.org/officeDocument/2006/relationships/worksheet" Target="/xl/worksheets/sheet3.xml" Id="R4aa8813ed3b84416" /><Relationship Type="http://schemas.openxmlformats.org/officeDocument/2006/relationships/worksheet" Target="/xl/worksheets/sheet4.xml" Id="R91bd440b9ca446ed" /><Relationship Type="http://schemas.openxmlformats.org/officeDocument/2006/relationships/worksheet" Target="/xl/worksheets/sheet5.xml" Id="R70aef1b7f7574c9c" /><Relationship Type="http://schemas.openxmlformats.org/officeDocument/2006/relationships/worksheet" Target="/xl/worksheets/sheet6.xml" Id="R04dab4dd2ad94366" /><Relationship Type="http://schemas.openxmlformats.org/officeDocument/2006/relationships/worksheet" Target="/xl/worksheets/sheet7.xml" Id="R7cb6bb49a1454461" /><Relationship Type="http://schemas.openxmlformats.org/officeDocument/2006/relationships/worksheet" Target="/xl/worksheets/sheet8.xml" Id="R192b3b0af8324656" /><Relationship Type="http://schemas.openxmlformats.org/officeDocument/2006/relationships/worksheet" Target="/xl/worksheets/sheet9.xml" Id="R56458f4fcf1b4c19" /><Relationship Type="http://schemas.openxmlformats.org/officeDocument/2006/relationships/worksheet" Target="/xl/worksheets/sheet10.xml" Id="R19fed22b39e743fd" /></Relationships>
</file>

<file path=xl/tables/table1.xml><?xml version="1.0" encoding="utf-8"?>
<x:table xmlns:x="http://schemas.openxmlformats.org/spreadsheetml/2006/main" id="1" name="CoverageSummaryTable" displayName="CoverageSummaryTable" ref="A1:J9" headerRowCount="1">
  <x:autoFilter ref="A1:J9"/>
  <x:tableColumns count="10">
    <x:tableColumn id="1" name="Variable"/>
    <x:tableColumn id="2" name="Role"/>
    <x:tableColumn id="3" name="Source / code"/>
    <x:tableColumn id="4" name="2015–2017 complete countries"/>
    <x:tableColumn id="5" name="Countries with any missing"/>
    <x:tableColumn id="6" name="Countries missing all 3 years"/>
    <x:tableColumn id="7" name="Missing cells / 162"/>
    <x:tableColumn id="8" name="Explicit zero cells / 162"/>
    <x:tableColumn id="9" name="Audit status"/>
    <x:tableColumn id="10" name="Missing countri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ternalVariables54Table" displayName="ExternalVariables54Table" ref="A1:AW55" headerRowCount="1">
  <x:autoFilter ref="A1:AW55"/>
  <x:tableColumns count="49">
    <x:tableColumn id="1" name="Country EN"/>
    <x:tableColumn id="2" name="Country CN"/>
    <x:tableColumn id="3" name="ISO3"/>
    <x:tableColumn id="4" name="Baseline Archetype (internal)"/>
    <x:tableColumn id="5" name="Paper Archetype Name"/>
    <x:tableColumn id="6" name="Stability Label"/>
    <x:tableColumn id="7" name="Main-text Mark"/>
    <x:tableColumn id="8" name="GE_2015"/>
    <x:tableColumn id="9" name="GE_2016"/>
    <x:tableColumn id="10" name="GE_2017"/>
    <x:tableColumn id="11" name="GE_mean_2015_2017"/>
    <x:tableColumn id="12" name="PV_2015"/>
    <x:tableColumn id="13" name="PV_2016"/>
    <x:tableColumn id="14" name="PV_2017"/>
    <x:tableColumn id="15" name="PV_mean_2015_2017"/>
    <x:tableColumn id="16" name="GDP_2015"/>
    <x:tableColumn id="17" name="GDP_2016"/>
    <x:tableColumn id="18" name="GDP_2017"/>
    <x:tableColumn id="19" name="GDP_mean_2015_2017"/>
    <x:tableColumn id="20" name="GDPpc_2015"/>
    <x:tableColumn id="21" name="GDPpc_2016"/>
    <x:tableColumn id="22" name="GDPpc_2017"/>
    <x:tableColumn id="23" name="GDPpc_mean_2015_2017"/>
    <x:tableColumn id="24" name="OilRent_2015"/>
    <x:tableColumn id="25" name="OilRent_2016"/>
    <x:tableColumn id="26" name="OilRent_2017"/>
    <x:tableColumn id="27" name="OilRent_mean_2015_2017"/>
    <x:tableColumn id="28" name="GasRent_2015"/>
    <x:tableColumn id="29" name="GasRent_2016"/>
    <x:tableColumn id="30" name="GasRent_2017"/>
    <x:tableColumn id="31" name="GasRent_mean_2015_2017"/>
    <x:tableColumn id="32" name="CoalRent_2015"/>
    <x:tableColumn id="33" name="CoalRent_2016"/>
    <x:tableColumn id="34" name="CoalRent_2017"/>
    <x:tableColumn id="35" name="CoalRent_mean_2015_2017"/>
    <x:tableColumn id="36" name="FossilRent_2015"/>
    <x:tableColumn id="37" name="FossilRent_2016"/>
    <x:tableColumn id="38" name="FossilRent_2017"/>
    <x:tableColumn id="39" name="FossilRent_mean_2015_2017"/>
    <x:tableColumn id="40" name="GE missing n"/>
    <x:tableColumn id="41" name="PV missing n"/>
    <x:tableColumn id="42" name="GDP missing n"/>
    <x:tableColumn id="43" name="GDPpc missing n"/>
    <x:tableColumn id="44" name="OilRent missing n"/>
    <x:tableColumn id="45" name="GasRent missing n"/>
    <x:tableColumn id="46" name="CoalRent missing n"/>
    <x:tableColumn id="47" name="FossilRent missing n"/>
    <x:tableColumn id="48" name="Missingness summary"/>
    <x:tableColumn id="49" name="Audit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ssingDetailTable" displayName="MissingDetailTable" ref="A1:I37" headerRowCount="1">
  <x:autoFilter ref="A1:I37"/>
  <x:tableColumns count="9">
    <x:tableColumn id="1" name="Variable"/>
    <x:tableColumn id="2" name="Country EN"/>
    <x:tableColumn id="3" name="ISO3"/>
    <x:tableColumn id="4" name="Baseline Archetype"/>
    <x:tableColumn id="5" name="Stability Label"/>
    <x:tableColumn id="6" name="Year"/>
    <x:tableColumn id="7" name="Source value"/>
    <x:tableColumn id="8" name="Type"/>
    <x:tableColumn id="9" name="Audit treatme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ntAuditTable" displayName="RentAuditTable" ref="A1:K52" headerRowCount="1">
  <x:autoFilter ref="A1:K52"/>
  <x:tableColumns count="11">
    <x:tableColumn id="1" name="Country EN"/>
    <x:tableColumn id="2" name="ISO3"/>
    <x:tableColumn id="3" name="Archetype"/>
    <x:tableColumn id="4" name="Oil zero n"/>
    <x:tableColumn id="5" name="Oil missing n"/>
    <x:tableColumn id="6" name="Gas zero n"/>
    <x:tableColumn id="7" name="Gas missing n"/>
    <x:tableColumn id="8" name="Coal zero n"/>
    <x:tableColumn id="9" name="Coal missing n"/>
    <x:tableColumn id="10" name="FossilRent missing n"/>
    <x:tableColumn id="11" name="Interpret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DictionaryTable" displayName="DataDictionaryTable" ref="A1:I9" headerRowCount="1">
  <x:autoFilter ref="A1:I9"/>
  <x:tableColumns count="9">
    <x:tableColumn id="1" name="Variable"/>
    <x:tableColumn id="2" name="Theoretical dimension"/>
    <x:tableColumn id="3" name="Operational definition"/>
    <x:tableColumn id="4" name="Unit"/>
    <x:tableColumn id="5" name="Source"/>
    <x:tableColumn id="6" name="Code / sheet"/>
    <x:tableColumn id="7" name="Window"/>
    <x:tableColumn id="8" name="Construction / audit rule"/>
    <x:tableColumn id="9" name="Us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1:F8" headerRowCount="1">
  <x:autoFilter ref="A1:F8"/>
  <x:tableColumns count="6">
    <x:tableColumn id="1" name="Input file"/>
    <x:tableColumn id="2" name="Dataset / indicator"/>
    <x:tableColumn id="3" name="Code / sheet"/>
    <x:tableColumn id="4" name="Official URL"/>
    <x:tableColumn id="5" name="Downloaded file note"/>
    <x:tableColumn id="6" name="SHA256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illDecisionsTable" displayName="FillDecisionsTable" ref="A1:K31" headerRowCount="1" totalsRowCount="0" totalsRowShown="0">
  <x:tableColumns count="11">
    <x:tableColumn id="1" name="Country"/>
    <x:tableColumn id="2" name="ISO3"/>
    <x:tableColumn id="3" name="Variable"/>
    <x:tableColumn id="4" name="Year"/>
    <x:tableColumn id="5" name="Raw audit value"/>
    <x:tableColumn id="6" name="Completed value"/>
    <x:tableColumn id="7" name="Method"/>
    <x:tableColumn id="8" name="Source"/>
    <x:tableColumn id="9" name="Source URL"/>
    <x:tableColumn id="10" name="Evidence grade"/>
    <x:tableColumn id="11" name="Decision no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nalysisReady54Table" displayName="AnalysisReady54Table" ref="A1:AR55" headerRowCount="1" totalsRowCount="0" totalsRowShown="0">
  <x:tableColumns count="44">
    <x:tableColumn id="1" name="Country EN"/>
    <x:tableColumn id="2" name="Country CN"/>
    <x:tableColumn id="3" name="ISO3"/>
    <x:tableColumn id="4" name="Baseline Archetype (internal)"/>
    <x:tableColumn id="5" name="Paper Archetype Name"/>
    <x:tableColumn id="6" name="Stability Label"/>
    <x:tableColumn id="7" name="Main-text Mark"/>
    <x:tableColumn id="8" name="GE_2015"/>
    <x:tableColumn id="9" name="GE_2016"/>
    <x:tableColumn id="10" name="GE_2017"/>
    <x:tableColumn id="11" name="GE_mean_2015_2017"/>
    <x:tableColumn id="12" name="PV_2015"/>
    <x:tableColumn id="13" name="PV_2016"/>
    <x:tableColumn id="14" name="PV_2017"/>
    <x:tableColumn id="15" name="PV_mean_2015_2017"/>
    <x:tableColumn id="16" name="GDP_2015"/>
    <x:tableColumn id="17" name="GDP_2016"/>
    <x:tableColumn id="18" name="GDP_2017"/>
    <x:tableColumn id="19" name="GDP_mean_2015_2017"/>
    <x:tableColumn id="20" name="GDPpc_2015"/>
    <x:tableColumn id="21" name="GDPpc_2016"/>
    <x:tableColumn id="22" name="GDPpc_2017"/>
    <x:tableColumn id="23" name="GDPpc_mean_2015_2017"/>
    <x:tableColumn id="24" name="OilRent_2015"/>
    <x:tableColumn id="25" name="OilRent_2016"/>
    <x:tableColumn id="26" name="OilRent_2017"/>
    <x:tableColumn id="27" name="OilRent_mean_2015_2017"/>
    <x:tableColumn id="28" name="GasRent_2015"/>
    <x:tableColumn id="29" name="GasRent_2016"/>
    <x:tableColumn id="30" name="GasRent_2017"/>
    <x:tableColumn id="31" name="GasRent_mean_2015_2017"/>
    <x:tableColumn id="32" name="CoalRent_2015"/>
    <x:tableColumn id="33" name="CoalRent_2016"/>
    <x:tableColumn id="34" name="CoalRent_2017"/>
    <x:tableColumn id="35" name="CoalRent_mean_2015_2017"/>
    <x:tableColumn id="36" name="FossilRent_2015"/>
    <x:tableColumn id="37" name="FossilRent_2016"/>
    <x:tableColumn id="38" name="FossilRent_2017"/>
    <x:tableColumn id="39" name="FossilRent_mean_2015_2017"/>
    <x:tableColumn id="40" name="Completion_Flag"/>
    <x:tableColumn id="41" name="GDP_Source_Method"/>
    <x:tableColumn id="42" name="Fossil_Source_Method"/>
    <x:tableColumn id="43" name="Any_Numeric_Proxy"/>
    <x:tableColumn id="44" name="Numeric_Proxy_Cell_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3864be83c14a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a12147c2504a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ca64ea30484d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aac670ecef4c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9bd96d33e74a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0ea2ed5c6046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4a84637cf56464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c846fe32ebe043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34" customWidth="1"/>
    <x:col min="3" max="3" width="22" customWidth="1"/>
    <x:col min="4" max="4" width="22" customWidth="1"/>
  </x:cols>
  <x:sheetData>
    <x:row r="1" ht="26" customHeight="1">
      <x:c r="A1" s="1" t="inlineStr">
        <x:is>
          <x:t xml:space="preserve">External Structural Variables Audit — Africa 54 Countries</x:t>
        </x:is>
      </x:c>
      <x:c r="B1" s="2" t="n"/>
      <x:c r="C1" s="2" t="n"/>
      <x:c r="D1" s="2" t="n"/>
    </x:row>
    <x:row r="2">
      <x:c r="A2" s="2" t="n"/>
      <x:c r="B2" s="2" t="n"/>
      <x:c r="C2" s="2" t="n"/>
      <x:c r="D2" s="2" t="n"/>
    </x:row>
    <x:row r="3">
      <x:c r="A3" s="3" t="inlineStr">
        <x:is>
          <x:t xml:space="preserve">Project stage</x:t>
        </x:is>
      </x:c>
      <x:c r="B3" s="4" t="inlineStr">
        <x:is>
          <x:t xml:space="preserve">Step 4 — audit and assemble external structural variables. No reclustering; no change to frozen 54-country typology.</x:t>
        </x:is>
      </x:c>
      <x:c r="C3" s="2" t="n"/>
      <x:c r="D3" s="2" t="n"/>
    </x:row>
    <x:row r="4">
      <x:c r="A4" s="3" t="inlineStr">
        <x:is>
          <x:t xml:space="preserve">Frozen baseline</x:t>
        </x:is>
      </x:c>
      <x:c r="B4" s="4" t="inlineStr">
        <x:is>
          <x:t xml:space="preserve">7 Leading / 20 Balancing / 27 Lagging; membership robustness labels are metadata only.</x:t>
        </x:is>
      </x:c>
      <x:c r="C4" s="2" t="n"/>
      <x:c r="D4" s="2" t="n"/>
    </x:row>
    <x:row r="5">
      <x:c r="A5" s="3" t="inlineStr">
        <x:is>
          <x:t xml:space="preserve">Required window</x:t>
        </x:is>
      </x:c>
      <x:c r="B5" s="4" t="inlineStr">
        <x:is>
          <x:t xml:space="preserve">2015–2017, applied uniformly across countries.</x:t>
        </x:is>
      </x:c>
      <x:c r="C5" s="2" t="n"/>
      <x:c r="D5" s="2" t="n"/>
    </x:row>
    <x:row r="6">
      <x:c r="A6" s="3" t="inlineStr">
        <x:is>
          <x:t xml:space="preserve">Core external variables</x:t>
        </x:is>
      </x:c>
      <x:c r="B6" s="4" t="inlineStr">
        <x:is>
          <x:t xml:space="preserve">Government Effectiveness; Political Stability and Absence of Violence/Terrorism; GDP per capita; Total GDP; Fossil-fuel rents/GDP.</x:t>
        </x:is>
      </x:c>
      <x:c r="C6" s="2" t="n"/>
      <x:c r="D6" s="2" t="n"/>
    </x:row>
    <x:row r="7">
      <x:c r="A7" s="3" t="inlineStr">
        <x:is>
          <x:t xml:space="preserve">Fossil-rent construction</x:t>
        </x:is>
      </x:c>
      <x:c r="B7" s="4" t="inlineStr">
        <x:is>
          <x:t xml:space="preserve">FossilRent_t = OilRent_t + GasRent_t + CoalRent_t. A yearly FossilRent is left blank if any component is blank; source blanks are NOT recoded to zero.</x:t>
        </x:is>
      </x:c>
      <x:c r="C7" s="2" t="n"/>
      <x:c r="D7" s="2" t="n"/>
    </x:row>
    <x:row r="8">
      <x:c r="A8" s="3" t="inlineStr">
        <x:is>
          <x:t xml:space="preserve">Audit conclusion</x:t>
        </x:is>
      </x:c>
      <x:c r="B8" s="4" t="inlineStr">
        <x:is>
          <x:t xml:space="preserve">B — Full N=54 structural-variable dataset is not yet complete. GE/PV are 54/54 complete; GDP/GDPpc are complete for 52 countries; FossilRent is complete for 51 countries.</x:t>
        </x:is>
      </x:c>
      <x:c r="C8" s="2" t="n"/>
      <x:c r="D8" s="2" t="n"/>
    </x:row>
    <x:row r="9">
      <x:c r="A9" s="3" t="inlineStr">
        <x:is>
          <x:t xml:space="preserve">Countries requiring later missing-data resolution</x:t>
        </x:is>
      </x:c>
      <x:c r="B9" s="4" t="inlineStr">
        <x:is>
          <x:t xml:space="preserve">Eritrea; South Sudan; Sierra Leone (details in Missing_Detail).</x:t>
        </x:is>
      </x:c>
      <x:c r="C9" s="2" t="n"/>
      <x:c r="D9" s="2" t="n"/>
    </x:row>
    <x:row r="10">
      <x:c r="A10" s="3" t="inlineStr">
        <x:is>
          <x:t xml:space="preserve">Current action boundary</x:t>
        </x:is>
      </x:c>
      <x:c r="B10" s="4" t="inlineStr">
        <x:is>
          <x:t xml:space="preserve">This workbook records missingness only. It does not impute, interpolate, substitute years, or reinterpret missing rent observations as zero.</x:t>
        </x:is>
      </x:c>
      <x:c r="C10" s="2" t="n"/>
      <x:c r="D10" s="2" t="n"/>
    </x:row>
    <x:row r="11">
      <x:c r="A11" s="3" t="inlineStr">
        <x:is>
          <x:t xml:space="preserve">Readiness for significance tests</x:t>
        </x:is>
      </x:c>
      <x:c r="B11" s="4" t="inlineStr">
        <x:is>
          <x:t xml:space="preserve">HOLD for a strict N=54 analysis until the missing-data issue is resolved under one uniform rule. No Kruskal–Wallis/ANOVA is run in this workbook.</x:t>
        </x:is>
      </x:c>
      <x:c r="C11" s="2" t="n"/>
      <x:c r="D11" s="2" t="n"/>
    </x:row>
  </x:sheetData>
  <x:mergeCells>
    <x:mergeCell ref="B10:D10"/>
    <x:mergeCell ref="A1:D1"/>
    <x:mergeCell ref="B11:D11"/>
    <x:mergeCell ref="B3:D3"/>
    <x:mergeCell ref="B5:D5"/>
    <x:mergeCell ref="B8:D8"/>
    <x:mergeCell ref="B4:D4"/>
    <x:mergeCell ref="B9:D9"/>
    <x:mergeCell ref="B7:D7"/>
    <x:mergeCell ref="B6:D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8" customWidth="1"/>
    <x:col min="3" max="3" width="26" customWidth="1"/>
    <x:col min="4" max="4" width="30" customWidth="1"/>
    <x:col min="5" max="5" width="28" customWidth="1"/>
    <x:col min="6" max="6" width="30" customWidth="1"/>
    <x:col min="7" max="7" width="21" customWidth="1"/>
    <x:col min="8" max="8" width="27" customWidth="1"/>
    <x:col min="9" max="9" width="14" customWidth="1"/>
    <x:col min="10" max="10" width="40" customWidth="1"/>
  </x:cols>
  <x:sheetData>
    <x:row r="1" ht="34" customHeight="1">
      <x:c r="A1" s="5" t="inlineStr">
        <x:is>
          <x:t xml:space="preserve">Variable</x:t>
        </x:is>
      </x:c>
      <x:c r="B1" s="5" t="inlineStr">
        <x:is>
          <x:t xml:space="preserve">Role</x:t>
        </x:is>
      </x:c>
      <x:c r="C1" s="5" t="inlineStr">
        <x:is>
          <x:t xml:space="preserve">Source / code</x:t>
        </x:is>
      </x:c>
      <x:c r="D1" s="5" t="inlineStr">
        <x:is>
          <x:t xml:space="preserve">2015–2017 complete countries</x:t>
        </x:is>
      </x:c>
      <x:c r="E1" s="5" t="inlineStr">
        <x:is>
          <x:t xml:space="preserve">Countries with any missing</x:t>
        </x:is>
      </x:c>
      <x:c r="F1" s="5" t="inlineStr">
        <x:is>
          <x:t xml:space="preserve">Countries missing all 3 years</x:t>
        </x:is>
      </x:c>
      <x:c r="G1" s="5" t="inlineStr">
        <x:is>
          <x:t xml:space="preserve">Missing cells / 162</x:t>
        </x:is>
      </x:c>
      <x:c r="H1" s="5" t="inlineStr">
        <x:is>
          <x:t xml:space="preserve">Explicit zero cells / 162</x:t>
        </x:is>
      </x:c>
      <x:c r="I1" s="5" t="inlineStr">
        <x:is>
          <x:t xml:space="preserve">Audit status</x:t>
        </x:is>
      </x:c>
      <x:c r="J1" s="5" t="inlineStr">
        <x:is>
          <x:t xml:space="preserve">Missing countries</x:t>
        </x:is>
      </x:c>
    </x:row>
    <x:row r="2">
      <x:c r="A2" s="2" t="inlineStr">
        <x:is>
          <x:t xml:space="preserve">GE</x:t>
        </x:is>
      </x:c>
      <x:c r="B2" s="2" t="inlineStr">
        <x:is>
          <x:t xml:space="preserve">Core</x:t>
        </x:is>
      </x:c>
      <x:c r="C2" s="2" t="inlineStr">
        <x:is>
          <x:t xml:space="preserve">WGI / ge estimate</x:t>
        </x:is>
      </x:c>
      <x:c r="D2" s="2" t="n">
        <x:v>54</x:v>
      </x:c>
      <x:c r="E2" s="2" t="n">
        <x:v>0</x:v>
      </x:c>
      <x:c r="F2" s="2" t="n">
        <x:v>0</x:v>
      </x:c>
      <x:c r="G2" s="2" t="n">
        <x:v>0</x:v>
      </x:c>
      <x:c r="H2" s="2" t="n">
        <x:v>0</x:v>
      </x:c>
      <x:c r="I2" s="2" t="inlineStr">
        <x:is>
          <x:t xml:space="preserve">PASS</x:t>
        </x:is>
      </x:c>
      <x:c r="J2" s="2" t="inlineStr">
        <x:is>
          <x:t xml:space="preserve"/>
        </x:is>
      </x:c>
    </x:row>
    <x:row r="3">
      <x:c r="A3" s="2" t="inlineStr">
        <x:is>
          <x:t xml:space="preserve">PV</x:t>
        </x:is>
      </x:c>
      <x:c r="B3" s="2" t="inlineStr">
        <x:is>
          <x:t xml:space="preserve">Core</x:t>
        </x:is>
      </x:c>
      <x:c r="C3" s="2" t="inlineStr">
        <x:is>
          <x:t xml:space="preserve">WGI / pv estimate</x:t>
        </x:is>
      </x:c>
      <x:c r="D3" s="2" t="n">
        <x:v>54</x:v>
      </x:c>
      <x:c r="E3" s="2" t="n">
        <x:v>0</x:v>
      </x:c>
      <x:c r="F3" s="2" t="n">
        <x:v>0</x:v>
      </x:c>
      <x:c r="G3" s="2" t="n">
        <x:v>0</x:v>
      </x:c>
      <x:c r="H3" s="2" t="n">
        <x:v>0</x:v>
      </x:c>
      <x:c r="I3" s="2" t="inlineStr">
        <x:is>
          <x:t xml:space="preserve">PASS</x:t>
        </x:is>
      </x:c>
      <x:c r="J3" s="2" t="inlineStr">
        <x:is>
          <x:t xml:space="preserve"/>
        </x:is>
      </x:c>
    </x:row>
    <x:row r="4">
      <x:c r="A4" s="2" t="inlineStr">
        <x:is>
          <x:t xml:space="preserve">GDP</x:t>
        </x:is>
      </x:c>
      <x:c r="B4" s="2" t="inlineStr">
        <x:is>
          <x:t xml:space="preserve">Core (later log)</x:t>
        </x:is>
      </x:c>
      <x:c r="C4" s="2" t="inlineStr">
        <x:is>
          <x:t xml:space="preserve">WDI / NY.GDP.MKTP.CD</x:t>
        </x:is>
      </x:c>
      <x:c r="D4" s="2" t="n">
        <x:v>52</x:v>
      </x:c>
      <x:c r="E4" s="2" t="n">
        <x:v>2</x:v>
      </x:c>
      <x:c r="F4" s="2" t="n">
        <x:v>1</x:v>
      </x:c>
      <x:c r="G4" s="2" t="n">
        <x:v>5</x:v>
      </x:c>
      <x:c r="H4" s="2" t="n">
        <x:v>0</x:v>
      </x:c>
      <x:c r="I4" s="2" t="inlineStr">
        <x:is>
          <x:t xml:space="preserve">REVIEW</x:t>
        </x:is>
      </x:c>
      <x:c r="J4" s="2" t="inlineStr">
        <x:is>
          <x:t xml:space="preserve">Eritrea; South Sudan</x:t>
        </x:is>
      </x:c>
    </x:row>
    <x:row r="5">
      <x:c r="A5" s="2" t="inlineStr">
        <x:is>
          <x:t xml:space="preserve">GDPpc</x:t>
        </x:is>
      </x:c>
      <x:c r="B5" s="2" t="inlineStr">
        <x:is>
          <x:t xml:space="preserve">Core</x:t>
        </x:is>
      </x:c>
      <x:c r="C5" s="2" t="inlineStr">
        <x:is>
          <x:t xml:space="preserve">WDI / NY.GDP.PCAP.CD</x:t>
        </x:is>
      </x:c>
      <x:c r="D5" s="2" t="n">
        <x:v>52</x:v>
      </x:c>
      <x:c r="E5" s="2" t="n">
        <x:v>2</x:v>
      </x:c>
      <x:c r="F5" s="2" t="n">
        <x:v>1</x:v>
      </x:c>
      <x:c r="G5" s="2" t="n">
        <x:v>5</x:v>
      </x:c>
      <x:c r="H5" s="2" t="n">
        <x:v>0</x:v>
      </x:c>
      <x:c r="I5" s="2" t="inlineStr">
        <x:is>
          <x:t xml:space="preserve">REVIEW</x:t>
        </x:is>
      </x:c>
      <x:c r="J5" s="2" t="inlineStr">
        <x:is>
          <x:t xml:space="preserve">Eritrea; South Sudan</x:t>
        </x:is>
      </x:c>
    </x:row>
    <x:row r="6">
      <x:c r="A6" s="2" t="inlineStr">
        <x:is>
          <x:t xml:space="preserve">OilRent</x:t>
        </x:is>
      </x:c>
      <x:c r="B6" s="2" t="inlineStr">
        <x:is>
          <x:t xml:space="preserve">Fossil component</x:t>
        </x:is>
      </x:c>
      <x:c r="C6" s="2" t="inlineStr">
        <x:is>
          <x:t xml:space="preserve">WDI / NY.GDP.PETR.RT.ZS</x:t>
        </x:is>
      </x:c>
      <x:c r="D6" s="2" t="n">
        <x:v>52</x:v>
      </x:c>
      <x:c r="E6" s="2" t="n">
        <x:v>2</x:v>
      </x:c>
      <x:c r="F6" s="2" t="n">
        <x:v>1</x:v>
      </x:c>
      <x:c r="G6" s="2" t="n">
        <x:v>5</x:v>
      </x:c>
      <x:c r="H6" s="2" t="n">
        <x:v>77</x:v>
      </x:c>
      <x:c r="I6" s="2" t="inlineStr">
        <x:is>
          <x:t xml:space="preserve">REVIEW</x:t>
        </x:is>
      </x:c>
      <x:c r="J6" s="2" t="inlineStr">
        <x:is>
          <x:t xml:space="preserve">Eritrea; South Sudan</x:t>
        </x:is>
      </x:c>
    </x:row>
    <x:row r="7">
      <x:c r="A7" s="2" t="inlineStr">
        <x:is>
          <x:t xml:space="preserve">GasRent</x:t>
        </x:is>
      </x:c>
      <x:c r="B7" s="2" t="inlineStr">
        <x:is>
          <x:t xml:space="preserve">Fossil component</x:t>
        </x:is>
      </x:c>
      <x:c r="C7" s="2" t="inlineStr">
        <x:is>
          <x:t xml:space="preserve">WDI / NY.GDP.NGAS.RT.ZS</x:t>
        </x:is>
      </x:c>
      <x:c r="D7" s="2" t="n">
        <x:v>51</x:v>
      </x:c>
      <x:c r="E7" s="2" t="n">
        <x:v>3</x:v>
      </x:c>
      <x:c r="F7" s="2" t="n">
        <x:v>2</x:v>
      </x:c>
      <x:c r="G7" s="2" t="n">
        <x:v>8</x:v>
      </x:c>
      <x:c r="H7" s="2" t="n">
        <x:v>97</x:v>
      </x:c>
      <x:c r="I7" s="2" t="inlineStr">
        <x:is>
          <x:t xml:space="preserve">REVIEW</x:t>
        </x:is>
      </x:c>
      <x:c r="J7" s="2" t="inlineStr">
        <x:is>
          <x:t xml:space="preserve">Eritrea; Sierra Leone; South Sudan</x:t>
        </x:is>
      </x:c>
    </x:row>
    <x:row r="8">
      <x:c r="A8" s="2" t="inlineStr">
        <x:is>
          <x:t xml:space="preserve">CoalRent</x:t>
        </x:is>
      </x:c>
      <x:c r="B8" s="2" t="inlineStr">
        <x:is>
          <x:t xml:space="preserve">Fossil component</x:t>
        </x:is>
      </x:c>
      <x:c r="C8" s="2" t="inlineStr">
        <x:is>
          <x:t xml:space="preserve">WDI / NY.GDP.COAL.RT.ZS</x:t>
        </x:is>
      </x:c>
      <x:c r="D8" s="2" t="n">
        <x:v>52</x:v>
      </x:c>
      <x:c r="E8" s="2" t="n">
        <x:v>2</x:v>
      </x:c>
      <x:c r="F8" s="2" t="n">
        <x:v>1</x:v>
      </x:c>
      <x:c r="G8" s="2" t="n">
        <x:v>5</x:v>
      </x:c>
      <x:c r="H8" s="2" t="n">
        <x:v>116</x:v>
      </x:c>
      <x:c r="I8" s="2" t="inlineStr">
        <x:is>
          <x:t xml:space="preserve">REVIEW</x:t>
        </x:is>
      </x:c>
      <x:c r="J8" s="2" t="inlineStr">
        <x:is>
          <x:t xml:space="preserve">Eritrea; South Sudan</x:t>
        </x:is>
      </x:c>
    </x:row>
    <x:row r="9">
      <x:c r="A9" s="2" t="inlineStr">
        <x:is>
          <x:t xml:space="preserve">FossilRent</x:t>
        </x:is>
      </x:c>
      <x:c r="B9" s="2" t="inlineStr">
        <x:is>
          <x:t xml:space="preserve">Core constructed</x:t>
        </x:is>
      </x:c>
      <x:c r="C9" s="2" t="inlineStr">
        <x:is>
          <x:t xml:space="preserve">Oil + Gas + Coal (% GDP)</x:t>
        </x:is>
      </x:c>
      <x:c r="D9" s="2" t="n">
        <x:v>51</x:v>
      </x:c>
      <x:c r="E9" s="2" t="n">
        <x:v>3</x:v>
      </x:c>
      <x:c r="F9" s="2" t="n">
        <x:v>2</x:v>
      </x:c>
      <x:c r="G9" s="2" t="n">
        <x:v>8</x:v>
      </x:c>
      <x:c r="H9" s="2" t="n">
        <x:v>53</x:v>
      </x:c>
      <x:c r="I9" s="2" t="inlineStr">
        <x:is>
          <x:t xml:space="preserve">REVIEW</x:t>
        </x:is>
      </x:c>
      <x:c r="J9" s="2" t="inlineStr">
        <x:is>
          <x:t xml:space="preserve">Eritrea; Sierra Leone; South Sudan</x:t>
        </x:is>
      </x:c>
    </x:row>
  </x:sheetData>
  <x:conditionalFormatting sqref="I2:I9">
    <x:cfRule type="cellIs" dxfId="0" priority="1" operator="equal">
      <x:formula>"REVIEW"</x:formula>
    </x:cfRule>
    <x:cfRule type="cellIs" dxfId="1" priority="2" operator="equal">
      <x:formula>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33864be83c14a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28" customWidth="1"/>
    <x:col min="3" max="3" width="9" customWidth="1"/>
    <x:col min="4" max="4" width="28" customWidth="1"/>
    <x:col min="5" max="5" width="28" customWidth="1"/>
    <x:col min="6" max="6" width="28" customWidth="1"/>
    <x:col min="7" max="7" width="12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  <x:col min="23" max="23" width="14" customWidth="1"/>
    <x:col min="24" max="24" width="14" customWidth="1"/>
    <x:col min="25" max="25" width="14" customWidth="1"/>
    <x:col min="26" max="26" width="14" customWidth="1"/>
    <x:col min="27" max="27" width="14" customWidth="1"/>
    <x:col min="28" max="28" width="14" customWidth="1"/>
    <x:col min="29" max="29" width="14" customWidth="1"/>
    <x:col min="30" max="30" width="14" customWidth="1"/>
    <x:col min="31" max="31" width="14" customWidth="1"/>
    <x:col min="32" max="32" width="14" customWidth="1"/>
    <x:col min="33" max="33" width="14" customWidth="1"/>
    <x:col min="34" max="34" width="14" customWidth="1"/>
    <x:col min="35" max="35" width="14" customWidth="1"/>
    <x:col min="36" max="36" width="14" customWidth="1"/>
    <x:col min="37" max="37" width="14" customWidth="1"/>
    <x:col min="38" max="38" width="14" customWidth="1"/>
    <x:col min="39" max="39" width="14" customWidth="1"/>
    <x:col min="40" max="40" width="14" customWidth="1"/>
    <x:col min="41" max="41" width="14" customWidth="1"/>
    <x:col min="42" max="42" width="14" customWidth="1"/>
    <x:col min="43" max="43" width="14" customWidth="1"/>
    <x:col min="44" max="44" width="14" customWidth="1"/>
    <x:col min="45" max="45" width="14" customWidth="1"/>
    <x:col min="46" max="46" width="14" customWidth="1"/>
    <x:col min="47" max="47" width="14" customWidth="1"/>
    <x:col min="48" max="48" width="28" customWidth="1"/>
    <x:col min="49" max="49" width="28" customWidth="1"/>
  </x:cols>
  <x:sheetData>
    <x:row r="1" ht="34" customHeight="1">
      <x:c r="A1" s="6" t="inlineStr">
        <x:is>
          <x:t xml:space="preserve">Country EN</x:t>
        </x:is>
      </x:c>
      <x:c r="B1" s="6" t="inlineStr">
        <x:is>
          <x:t xml:space="preserve">Country CN</x:t>
        </x:is>
      </x:c>
      <x:c r="C1" s="6" t="inlineStr">
        <x:is>
          <x:t xml:space="preserve">ISO3</x:t>
        </x:is>
      </x:c>
      <x:c r="D1" s="6" t="inlineStr">
        <x:is>
          <x:t xml:space="preserve">Baseline Archetype (internal)</x:t>
        </x:is>
      </x:c>
      <x:c r="E1" s="5" t="inlineStr">
        <x:is>
          <x:t xml:space="preserve">Paper Archetype Name</x:t>
        </x:is>
      </x:c>
      <x:c r="F1" s="5" t="inlineStr">
        <x:is>
          <x:t xml:space="preserve">Stability Label</x:t>
        </x:is>
      </x:c>
      <x:c r="G1" s="6" t="inlineStr">
        <x:is>
          <x:t xml:space="preserve">Main-text Mark</x:t>
        </x:is>
      </x:c>
      <x:c r="H1" s="7" t="inlineStr">
        <x:is>
          <x:t xml:space="preserve">GE_2015</x:t>
        </x:is>
      </x:c>
      <x:c r="I1" s="7" t="inlineStr">
        <x:is>
          <x:t xml:space="preserve">GE_2016</x:t>
        </x:is>
      </x:c>
      <x:c r="J1" s="7" t="inlineStr">
        <x:is>
          <x:t xml:space="preserve">GE_2017</x:t>
        </x:is>
      </x:c>
      <x:c r="K1" s="7" t="inlineStr">
        <x:is>
          <x:t xml:space="preserve">GE_mean_2015_2017</x:t>
        </x:is>
      </x:c>
      <x:c r="L1" s="7" t="inlineStr">
        <x:is>
          <x:t xml:space="preserve">PV_2015</x:t>
        </x:is>
      </x:c>
      <x:c r="M1" s="7" t="inlineStr">
        <x:is>
          <x:t xml:space="preserve">PV_2016</x:t>
        </x:is>
      </x:c>
      <x:c r="N1" s="7" t="inlineStr">
        <x:is>
          <x:t xml:space="preserve">PV_2017</x:t>
        </x:is>
      </x:c>
      <x:c r="O1" s="7" t="inlineStr">
        <x:is>
          <x:t xml:space="preserve">PV_mean_2015_2017</x:t>
        </x:is>
      </x:c>
      <x:c r="P1" s="8" t="inlineStr">
        <x:is>
          <x:t xml:space="preserve">GDP_2015</x:t>
        </x:is>
      </x:c>
      <x:c r="Q1" s="8" t="inlineStr">
        <x:is>
          <x:t xml:space="preserve">GDP_2016</x:t>
        </x:is>
      </x:c>
      <x:c r="R1" s="8" t="inlineStr">
        <x:is>
          <x:t xml:space="preserve">GDP_2017</x:t>
        </x:is>
      </x:c>
      <x:c r="S1" s="8" t="inlineStr">
        <x:is>
          <x:t xml:space="preserve">GDP_mean_2015_2017</x:t>
        </x:is>
      </x:c>
      <x:c r="T1" s="8" t="inlineStr">
        <x:is>
          <x:t xml:space="preserve">GDPpc_2015</x:t>
        </x:is>
      </x:c>
      <x:c r="U1" s="8" t="inlineStr">
        <x:is>
          <x:t xml:space="preserve">GDPpc_2016</x:t>
        </x:is>
      </x:c>
      <x:c r="V1" s="8" t="inlineStr">
        <x:is>
          <x:t xml:space="preserve">GDPpc_2017</x:t>
        </x:is>
      </x:c>
      <x:c r="W1" s="8" t="inlineStr">
        <x:is>
          <x:t xml:space="preserve">GDPpc_mean_2015_2017</x:t>
        </x:is>
      </x:c>
      <x:c r="X1" s="9" t="inlineStr">
        <x:is>
          <x:t xml:space="preserve">OilRent_2015</x:t>
        </x:is>
      </x:c>
      <x:c r="Y1" s="9" t="inlineStr">
        <x:is>
          <x:t xml:space="preserve">OilRent_2016</x:t>
        </x:is>
      </x:c>
      <x:c r="Z1" s="9" t="inlineStr">
        <x:is>
          <x:t xml:space="preserve">OilRent_2017</x:t>
        </x:is>
      </x:c>
      <x:c r="AA1" s="9" t="inlineStr">
        <x:is>
          <x:t xml:space="preserve">OilRent_mean_2015_2017</x:t>
        </x:is>
      </x:c>
      <x:c r="AB1" s="9" t="inlineStr">
        <x:is>
          <x:t xml:space="preserve">GasRent_2015</x:t>
        </x:is>
      </x:c>
      <x:c r="AC1" s="9" t="inlineStr">
        <x:is>
          <x:t xml:space="preserve">GasRent_2016</x:t>
        </x:is>
      </x:c>
      <x:c r="AD1" s="9" t="inlineStr">
        <x:is>
          <x:t xml:space="preserve">GasRent_2017</x:t>
        </x:is>
      </x:c>
      <x:c r="AE1" s="9" t="inlineStr">
        <x:is>
          <x:t xml:space="preserve">GasRent_mean_2015_2017</x:t>
        </x:is>
      </x:c>
      <x:c r="AF1" s="10" t="inlineStr">
        <x:is>
          <x:t xml:space="preserve">CoalRent_2015</x:t>
        </x:is>
      </x:c>
      <x:c r="AG1" s="10" t="inlineStr">
        <x:is>
          <x:t xml:space="preserve">CoalRent_2016</x:t>
        </x:is>
      </x:c>
      <x:c r="AH1" s="10" t="inlineStr">
        <x:is>
          <x:t xml:space="preserve">CoalRent_2017</x:t>
        </x:is>
      </x:c>
      <x:c r="AI1" s="10" t="inlineStr">
        <x:is>
          <x:t xml:space="preserve">CoalRent_mean_2015_2017</x:t>
        </x:is>
      </x:c>
      <x:c r="AJ1" s="10" t="inlineStr">
        <x:is>
          <x:t xml:space="preserve">FossilRent_2015</x:t>
        </x:is>
      </x:c>
      <x:c r="AK1" s="10" t="inlineStr">
        <x:is>
          <x:t xml:space="preserve">FossilRent_2016</x:t>
        </x:is>
      </x:c>
      <x:c r="AL1" s="10" t="inlineStr">
        <x:is>
          <x:t xml:space="preserve">FossilRent_2017</x:t>
        </x:is>
      </x:c>
      <x:c r="AM1" s="10" t="inlineStr">
        <x:is>
          <x:t xml:space="preserve">FossilRent_mean_2015_2017</x:t>
        </x:is>
      </x:c>
      <x:c r="AN1" s="6" t="inlineStr">
        <x:is>
          <x:t xml:space="preserve">GE missing n</x:t>
        </x:is>
      </x:c>
      <x:c r="AO1" s="6" t="inlineStr">
        <x:is>
          <x:t xml:space="preserve">PV missing n</x:t>
        </x:is>
      </x:c>
      <x:c r="AP1" s="6" t="inlineStr">
        <x:is>
          <x:t xml:space="preserve">GDP missing n</x:t>
        </x:is>
      </x:c>
      <x:c r="AQ1" s="6" t="inlineStr">
        <x:is>
          <x:t xml:space="preserve">GDPpc missing n</x:t>
        </x:is>
      </x:c>
      <x:c r="AR1" s="6" t="inlineStr">
        <x:is>
          <x:t xml:space="preserve">OilRent missing n</x:t>
        </x:is>
      </x:c>
      <x:c r="AS1" s="6" t="inlineStr">
        <x:is>
          <x:t xml:space="preserve">GasRent missing n</x:t>
        </x:is>
      </x:c>
      <x:c r="AT1" s="6" t="inlineStr">
        <x:is>
          <x:t xml:space="preserve">CoalRent missing n</x:t>
        </x:is>
      </x:c>
      <x:c r="AU1" s="6" t="inlineStr">
        <x:is>
          <x:t xml:space="preserve">FossilRent missing n</x:t>
        </x:is>
      </x:c>
      <x:c r="AV1" s="5" t="inlineStr">
        <x:is>
          <x:t xml:space="preserve">Missingness summary</x:t>
        </x:is>
      </x:c>
      <x:c r="AW1" s="5" t="inlineStr">
        <x:is>
          <x:t xml:space="preserve">Audit note</x:t>
        </x:is>
      </x:c>
    </x:row>
    <x:row r="2">
      <x:c r="A2" s="11" t="inlineStr">
        <x:is>
          <x:t xml:space="preserve">Algeria</x:t>
        </x:is>
      </x:c>
      <x:c r="B2" s="11" t="inlineStr">
        <x:is>
          <x:t xml:space="preserve">阿尔及利亚</x:t>
        </x:is>
      </x:c>
      <x:c r="C2" s="11" t="inlineStr">
        <x:is>
          <x:t xml:space="preserve">DZA</x:t>
        </x:is>
      </x:c>
      <x:c r="D2" s="11" t="inlineStr">
        <x:is>
          <x:t xml:space="preserve">Lagging</x:t>
        </x:is>
      </x:c>
      <x:c r="E2" s="4" t="inlineStr">
        <x:is>
          <x:t xml:space="preserve">Transition-Constrained Archetype</x:t>
        </x:is>
      </x:c>
      <x:c r="F2" s="4" t="inlineStr">
        <x:is>
          <x:t xml:space="preserve">High stability</x:t>
        </x:is>
      </x:c>
      <x:c r="G2" s="11" t="n"/>
      <x:c r="H2" s="12" t="n">
        <x:v>-0.3555636</x:v>
      </x:c>
      <x:c r="I2" s="12" t="n">
        <x:v>-0.4244363</x:v>
      </x:c>
      <x:c r="J2" s="12" t="n">
        <x:v>-0.5231578</x:v>
      </x:c>
      <x:c r="K2" s="12" t="n">
        <x:f>IF(COUNT(H2:J2)=3,AVERAGE(H2:J2),"")</x:f>
        <x:v>-0.43438589999999994</x:v>
      </x:c>
      <x:c r="L2" s="12" t="n">
        <x:v>-1.049624</x:v>
      </x:c>
      <x:c r="M2" s="12" t="n">
        <x:v>-1.1245845</x:v>
      </x:c>
      <x:c r="N2" s="12" t="n">
        <x:v>-0.9295045999999999</x:v>
      </x:c>
      <x:c r="O2" s="12" t="n">
        <x:f>IF(COUNT(L2:N2)=3,AVERAGE(L2:N2),"")</x:f>
        <x:v>-1.0345710333333333</x:v>
      </x:c>
      <x:c r="P2" s="13" t="n">
        <x:v>187493855609.3446</x:v>
      </x:c>
      <x:c r="Q2" s="13" t="n">
        <x:v>180763839522.1508</x:v>
      </x:c>
      <x:c r="R2" s="13" t="n">
        <x:v>189880896903.0733</x:v>
      </x:c>
      <x:c r="S2" s="13" t="n">
        <x:f>IF(COUNT(P2:R2)=3,AVERAGE(P2:R2),"")</x:f>
        <x:v>186046197344.8562</x:v>
      </x:c>
      <x:c r="T2" s="13" t="n">
        <x:v>4685.059027290017</x:v>
      </x:c>
      <x:c r="U2" s="13" t="n">
        <x:v>4424.985290275557</x:v>
      </x:c>
      <x:c r="V2" s="13" t="n">
        <x:v>4554.667539578281</x:v>
      </x:c>
      <x:c r="W2" s="13" t="n">
        <x:f>IF(COUNT(T2:V2)=3,AVERAGE(T2:V2),"")</x:f>
        <x:v>4554.903952381285</x:v>
      </x:c>
      <x:c r="X2" s="12" t="n">
        <x:v>11.7459031918092</x:v>
      </x:c>
      <x:c r="Y2" s="12" t="n">
        <x:v>10.0262189142963</x:v>
      </x:c>
      <x:c r="Z2" s="12" t="n">
        <x:v>12.1565741270026</x:v>
      </x:c>
      <x:c r="AA2" s="12" t="n">
        <x:f>IF(COUNT(X2:Z2)=3,AVERAGE(X2:Z2),"")</x:f>
        <x:v>11.309565411036033</x:v>
      </x:c>
      <x:c r="AB2" s="12" t="n">
        <x:v>2.90603072482324</x:v>
      </x:c>
      <x:c r="AC2" s="12" t="n">
        <x:v>2.56694843286828</x:v>
      </x:c>
      <x:c r="AD2" s="12" t="n">
        <x:v>2.96806789859693</x:v>
      </x:c>
      <x:c r="AE2" s="12" t="n">
        <x:f>IF(COUNT(AB2:AD2)=3,AVERAGE(AB2:AD2),"")</x:f>
        <x:v>2.81368235209615</x:v>
      </x:c>
      <x:c r="AF2" s="12" t="n">
        <x:v>0</x:v>
      </x:c>
      <x:c r="AG2" s="12" t="n">
        <x:v>0</x:v>
      </x:c>
      <x:c r="AH2" s="12" t="n">
        <x:v>0</x:v>
      </x:c>
      <x:c r="AI2" s="12" t="n">
        <x:f>IF(COUNT(AF2:AH2)=3,AVERAGE(AF2:AH2),"")</x:f>
        <x:v>0</x:v>
      </x:c>
      <x:c r="AJ2" s="12" t="n">
        <x:f>IF(COUNT(X2,AB2,AF2)=3,SUM(X2,AB2,AF2),"")</x:f>
        <x:v>14.65193391663244</x:v>
      </x:c>
      <x:c r="AK2" s="12" t="n">
        <x:f>IF(COUNT(Y2,AC2,AG2)=3,SUM(Y2,AC2,AG2),"")</x:f>
        <x:v>12.593167347164579</x:v>
      </x:c>
      <x:c r="AL2" s="12" t="n">
        <x:f>IF(COUNT(Z2,AD2,AH2)=3,SUM(Z2,AD2,AH2),"")</x:f>
        <x:v>15.12464202559953</x:v>
      </x:c>
      <x:c r="AM2" s="12" t="n">
        <x:f>IF(COUNT(AJ2:AL2)=3,AVERAGE(AJ2:AL2),"")</x:f>
        <x:v>14.123247763132182</x:v>
      </x:c>
      <x:c r="AN2" s="11" t="n">
        <x:v>0</x:v>
      </x:c>
      <x:c r="AO2" s="11" t="n">
        <x:v>0</x:v>
      </x:c>
      <x:c r="AP2" s="11" t="n">
        <x:v>0</x:v>
      </x:c>
      <x:c r="AQ2" s="11" t="n">
        <x:v>0</x:v>
      </x:c>
      <x:c r="AR2" s="11" t="n">
        <x:v>0</x:v>
      </x:c>
      <x:c r="AS2" s="11" t="n">
        <x:v>0</x:v>
      </x:c>
      <x:c r="AT2" s="11" t="n">
        <x:v>0</x:v>
      </x:c>
      <x:c r="AU2" s="11" t="n">
        <x:v>0</x:v>
      </x:c>
      <x:c r="AV2" s="4" t="inlineStr">
        <x:is>
          <x:t xml:space="preserve"/>
        </x:is>
      </x:c>
      <x:c r="AW2" s="4" t="inlineStr">
        <x:is>
          <x:t xml:space="preserve">Complete for all raw variables in 2015–2017</x:t>
        </x:is>
      </x:c>
    </x:row>
    <x:row r="3">
      <x:c r="A3" s="11" t="inlineStr">
        <x:is>
          <x:t xml:space="preserve">Angola</x:t>
        </x:is>
      </x:c>
      <x:c r="B3" s="11" t="inlineStr">
        <x:is>
          <x:t xml:space="preserve">安哥拉</x:t>
        </x:is>
      </x:c>
      <x:c r="C3" s="11" t="inlineStr">
        <x:is>
          <x:t xml:space="preserve">AGO</x:t>
        </x:is>
      </x:c>
      <x:c r="D3" s="11" t="inlineStr">
        <x:is>
          <x:t xml:space="preserve">Leading</x:t>
        </x:is>
      </x:c>
      <x:c r="E3" s="4" t="inlineStr">
        <x:is>
          <x:t xml:space="preserve">Scale-and-Momentum Leadership Archetype</x:t>
        </x:is>
      </x:c>
      <x:c r="F3" s="4" t="inlineStr">
        <x:is>
          <x:t xml:space="preserve">Moderate stability</x:t>
        </x:is>
      </x:c>
      <x:c r="G3" s="11" t="n"/>
      <x:c r="H3" s="12" t="n">
        <x:v>-0.9378236999999999</x:v>
      </x:c>
      <x:c r="I3" s="12" t="n">
        <x:v>-0.9493847</x:v>
      </x:c>
      <x:c r="J3" s="12" t="n">
        <x:v>-0.9681156999999999</x:v>
      </x:c>
      <x:c r="K3" s="12" t="n">
        <x:f>IF(COUNT(H3:J3)=3,AVERAGE(H3:J3),"")</x:f>
        <x:v>-0.9517747</x:v>
      </x:c>
      <x:c r="L3" s="12" t="n">
        <x:v>-0.5591026</x:v>
      </x:c>
      <x:c r="M3" s="12" t="n">
        <x:v>-0.434628</x:v>
      </x:c>
      <x:c r="N3" s="12" t="n">
        <x:v>-0.5372144999999999</x:v>
      </x:c>
      <x:c r="O3" s="12" t="n">
        <x:f>IF(COUNT(L3:N3)=3,AVERAGE(L3:N3),"")</x:f>
        <x:v>-0.5103150333333333</x:v>
      </x:c>
      <x:c r="P3" s="13" t="n">
        <x:v>102543067840.8191</x:v>
      </x:c>
      <x:c r="Q3" s="13" t="n">
        <x:v>60770049747.38317</x:v>
      </x:c>
      <x:c r="R3" s="13" t="n">
        <x:v>85629598654.19057</x:v>
      </x:c>
      <x:c r="S3" s="13" t="n">
        <x:f>IF(COUNT(P3:R3)=3,AVERAGE(P3:R3),"")</x:f>
        <x:v>82980905414.13094</x:v>
      </x:c>
      <x:c r="T3" s="13" t="n">
        <x:v>3641.728939202528</x:v>
      </x:c>
      <x:c r="U3" s="13" t="n">
        <x:v>2082.373435947046</x:v>
      </x:c>
      <x:c r="V3" s="13" t="n">
        <x:v>2832.149979505119</x:v>
      </x:c>
      <x:c r="W3" s="13" t="n">
        <x:f>IF(COUNT(T3:V3)=3,AVERAGE(T3:V3),"")</x:f>
        <x:v>2852.0841182182307</x:v>
      </x:c>
      <x:c r="X3" s="12" t="n">
        <x:v>12.7187303090272</x:v>
      </x:c>
      <x:c r="Y3" s="12" t="n">
        <x:v>19.7483988340046</x:v>
      </x:c>
      <x:c r="Z3" s="12" t="n">
        <x:v>24.7110060055382</x:v>
      </x:c>
      <x:c r="AA3" s="12" t="n">
        <x:f>IF(COUNT(X3:Z3)=3,AVERAGE(X3:Z3),"")</x:f>
        <x:v>19.059378382856664</x:v>
      </x:c>
      <x:c r="AB3" s="12" t="n">
        <x:v>0.0604405605969015</x:v>
      </x:c>
      <x:c r="AC3" s="12" t="n">
        <x:v>0.158766315983972</x:v>
      </x:c>
      <x:c r="AD3" s="12" t="n">
        <x:v>0.476162010407452</x:v>
      </x:c>
      <x:c r="AE3" s="12" t="n">
        <x:f>IF(COUNT(AB3:AD3)=3,AVERAGE(AB3:AD3),"")</x:f>
        <x:v>0.23178962899610847</x:v>
      </x:c>
      <x:c r="AF3" s="12" t="n">
        <x:v>0</x:v>
      </x:c>
      <x:c r="AG3" s="12" t="n">
        <x:v>0</x:v>
      </x:c>
      <x:c r="AH3" s="12" t="n">
        <x:v>0</x:v>
      </x:c>
      <x:c r="AI3" s="12" t="n">
        <x:f>IF(COUNT(AF3:AH3)=3,AVERAGE(AF3:AH3),"")</x:f>
        <x:v>0</x:v>
      </x:c>
      <x:c r="AJ3" s="12" t="n">
        <x:f>IF(COUNT(X3,AB3,AF3)=3,SUM(X3,AB3,AF3),"")</x:f>
        <x:v>12.779170869624101</x:v>
      </x:c>
      <x:c r="AK3" s="12" t="n">
        <x:f>IF(COUNT(Y3,AC3,AG3)=3,SUM(Y3,AC3,AG3),"")</x:f>
        <x:v>19.907165149988572</x:v>
      </x:c>
      <x:c r="AL3" s="12" t="n">
        <x:f>IF(COUNT(Z3,AD3,AH3)=3,SUM(Z3,AD3,AH3),"")</x:f>
        <x:v>25.18716801594565</x:v>
      </x:c>
      <x:c r="AM3" s="12" t="n">
        <x:f>IF(COUNT(AJ3:AL3)=3,AVERAGE(AJ3:AL3),"")</x:f>
        <x:v>19.291168011852776</x:v>
      </x:c>
      <x:c r="AN3" s="11" t="n">
        <x:v>0</x:v>
      </x:c>
      <x:c r="AO3" s="11" t="n">
        <x:v>0</x:v>
      </x:c>
      <x:c r="AP3" s="11" t="n">
        <x:v>0</x:v>
      </x:c>
      <x:c r="AQ3" s="11" t="n">
        <x:v>0</x:v>
      </x:c>
      <x:c r="AR3" s="11" t="n">
        <x:v>0</x:v>
      </x:c>
      <x:c r="AS3" s="11" t="n">
        <x:v>0</x:v>
      </x:c>
      <x:c r="AT3" s="11" t="n">
        <x:v>0</x:v>
      </x:c>
      <x:c r="AU3" s="11" t="n">
        <x:v>0</x:v>
      </x:c>
      <x:c r="AV3" s="4" t="inlineStr">
        <x:is>
          <x:t xml:space="preserve"/>
        </x:is>
      </x:c>
      <x:c r="AW3" s="4" t="inlineStr">
        <x:is>
          <x:t xml:space="preserve">Complete for all raw variables in 2015–2017</x:t>
        </x:is>
      </x:c>
    </x:row>
    <x:row r="4">
      <x:c r="A4" s="11" t="inlineStr">
        <x:is>
          <x:t xml:space="preserve">Benin</x:t>
        </x:is>
      </x:c>
      <x:c r="B4" s="11" t="inlineStr">
        <x:is>
          <x:t xml:space="preserve">贝宁</x:t>
        </x:is>
      </x:c>
      <x:c r="C4" s="11" t="inlineStr">
        <x:is>
          <x:t xml:space="preserve">BEN</x:t>
        </x:is>
      </x:c>
      <x:c r="D4" s="11" t="inlineStr">
        <x:is>
          <x:t xml:space="preserve">Lagging</x:t>
        </x:is>
      </x:c>
      <x:c r="E4" s="4" t="inlineStr">
        <x:is>
          <x:t xml:space="preserve">Transition-Constrained Archetype</x:t>
        </x:is>
      </x:c>
      <x:c r="F4" s="4" t="inlineStr">
        <x:is>
          <x:t xml:space="preserve">High stability</x:t>
        </x:is>
      </x:c>
      <x:c r="G4" s="11" t="n"/>
      <x:c r="H4" s="12" t="n">
        <x:v>-0.5410404</x:v>
      </x:c>
      <x:c r="I4" s="12" t="n">
        <x:v>-0.4948066</x:v>
      </x:c>
      <x:c r="J4" s="12" t="n">
        <x:v>-0.46663</x:v>
      </x:c>
      <x:c r="K4" s="12" t="n">
        <x:f>IF(COUNT(H4:J4)=3,AVERAGE(H4:J4),"")</x:f>
        <x:v>-0.5008256666666666</x:v>
      </x:c>
      <x:c r="L4" s="12" t="n">
        <x:v>0.117506</x:v>
      </x:c>
      <x:c r="M4" s="12" t="n">
        <x:v>0.2420032</x:v>
      </x:c>
      <x:c r="N4" s="12" t="n">
        <x:v>0.3155886</x:v>
      </x:c>
      <x:c r="O4" s="12" t="n">
        <x:f>IF(COUNT(L4:N4)=3,AVERAGE(L4:N4),"")</x:f>
        <x:v>0.2250326</x:v>
      </x:c>
      <x:c r="P4" s="13" t="n">
        <x:v>11388160996.77378</x:v>
      </x:c>
      <x:c r="Q4" s="13" t="n">
        <x:v>11821065853.38379</x:v>
      </x:c>
      <x:c r="R4" s="13" t="n">
        <x:v>12701655836.9467</x:v>
      </x:c>
      <x:c r="S4" s="13" t="n">
        <x:f>IF(COUNT(P4:R4)=3,AVERAGE(P4:R4),"")</x:f>
        <x:v>11970294229.034758</x:v>
      </x:c>
      <x:c r="T4" s="13" t="n">
        <x:v>1002.418868796138</x:v>
      </x:c>
      <x:c r="U4" s="13" t="n">
        <x:v>1010.533896199298</x:v>
      </x:c>
      <x:c r="V4" s="13" t="n">
        <x:v>1054.974080668143</x:v>
      </x:c>
      <x:c r="W4" s="13" t="n">
        <x:f>IF(COUNT(T4:V4)=3,AVERAGE(T4:V4),"")</x:f>
        <x:v>1022.6422818878597</x:v>
      </x:c>
      <x:c r="X4" s="12" t="n">
        <x:v>0.0533746520369224</x:v>
      </x:c>
      <x:c r="Y4" s="12" t="n">
        <x:v>0.0514773561767198</x:v>
      </x:c>
      <x:c r="Z4" s="12" t="n">
        <x:v>0.0874965519938235</x:v>
      </x:c>
      <x:c r="AA4" s="12" t="n">
        <x:f>IF(COUNT(X4:Z4)=3,AVERAGE(X4:Z4),"")</x:f>
        <x:v>0.06411618673582191</x:v>
      </x:c>
      <x:c r="AB4" s="12" t="n">
        <x:v>0</x:v>
      </x:c>
      <x:c r="AC4" s="12" t="n">
        <x:v>0</x:v>
      </x:c>
      <x:c r="AD4" s="12" t="n">
        <x:v>0</x:v>
      </x:c>
      <x:c r="AE4" s="12" t="n">
        <x:f>IF(COUNT(AB4:AD4)=3,AVERAGE(AB4:AD4),"")</x:f>
        <x:v>0</x:v>
      </x:c>
      <x:c r="AF4" s="12" t="n">
        <x:v>0</x:v>
      </x:c>
      <x:c r="AG4" s="12" t="n">
        <x:v>0</x:v>
      </x:c>
      <x:c r="AH4" s="12" t="n">
        <x:v>0</x:v>
      </x:c>
      <x:c r="AI4" s="12" t="n">
        <x:f>IF(COUNT(AF4:AH4)=3,AVERAGE(AF4:AH4),"")</x:f>
        <x:v>0</x:v>
      </x:c>
      <x:c r="AJ4" s="12" t="n">
        <x:f>IF(COUNT(X4,AB4,AF4)=3,SUM(X4,AB4,AF4),"")</x:f>
        <x:v>0.0533746520369224</x:v>
      </x:c>
      <x:c r="AK4" s="12" t="n">
        <x:f>IF(COUNT(Y4,AC4,AG4)=3,SUM(Y4,AC4,AG4),"")</x:f>
        <x:v>0.0514773561767198</x:v>
      </x:c>
      <x:c r="AL4" s="12" t="n">
        <x:f>IF(COUNT(Z4,AD4,AH4)=3,SUM(Z4,AD4,AH4),"")</x:f>
        <x:v>0.0874965519938235</x:v>
      </x:c>
      <x:c r="AM4" s="12" t="n">
        <x:f>IF(COUNT(AJ4:AL4)=3,AVERAGE(AJ4:AL4),"")</x:f>
        <x:v>0.06411618673582191</x:v>
      </x:c>
      <x:c r="AN4" s="11" t="n">
        <x:v>0</x:v>
      </x:c>
      <x:c r="AO4" s="11" t="n">
        <x:v>0</x:v>
      </x:c>
      <x:c r="AP4" s="11" t="n">
        <x:v>0</x:v>
      </x:c>
      <x:c r="AQ4" s="11" t="n">
        <x:v>0</x:v>
      </x:c>
      <x:c r="AR4" s="11" t="n">
        <x:v>0</x:v>
      </x:c>
      <x:c r="AS4" s="11" t="n">
        <x:v>0</x:v>
      </x:c>
      <x:c r="AT4" s="11" t="n">
        <x:v>0</x:v>
      </x:c>
      <x:c r="AU4" s="11" t="n">
        <x:v>0</x:v>
      </x:c>
      <x:c r="AV4" s="4" t="inlineStr">
        <x:is>
          <x:t xml:space="preserve"/>
        </x:is>
      </x:c>
      <x:c r="AW4" s="4" t="inlineStr">
        <x:is>
          <x:t xml:space="preserve">Complete for all raw variables in 2015–2017</x:t>
        </x:is>
      </x:c>
    </x:row>
    <x:row r="5">
      <x:c r="A5" s="11" t="inlineStr">
        <x:is>
          <x:t xml:space="preserve">Botswana</x:t>
        </x:is>
      </x:c>
      <x:c r="B5" s="11" t="inlineStr">
        <x:is>
          <x:t xml:space="preserve">博茨瓦纳</x:t>
        </x:is>
      </x:c>
      <x:c r="C5" s="11" t="inlineStr">
        <x:is>
          <x:t xml:space="preserve">BWA</x:t>
        </x:is>
      </x:c>
      <x:c r="D5" s="11" t="inlineStr">
        <x:is>
          <x:t xml:space="preserve">Lagging</x:t>
        </x:is>
      </x:c>
      <x:c r="E5" s="4" t="inlineStr">
        <x:is>
          <x:t xml:space="preserve">Transition-Constrained Archetype</x:t>
        </x:is>
      </x:c>
      <x:c r="F5" s="4" t="inlineStr">
        <x:is>
          <x:t xml:space="preserve">High stability</x:t>
        </x:is>
      </x:c>
      <x:c r="G5" s="11" t="n"/>
      <x:c r="H5" s="12" t="n">
        <x:v>0.5694336999999999</x:v>
      </x:c>
      <x:c r="I5" s="12" t="n">
        <x:v>0.5361602999999999</x:v>
      </x:c>
      <x:c r="J5" s="12" t="n">
        <x:v>0.4156169</x:v>
      </x:c>
      <x:c r="K5" s="12" t="n">
        <x:f>IF(COUNT(H5:J5)=3,AVERAGE(H5:J5),"")</x:f>
        <x:v>0.5070703</x:v>
      </x:c>
      <x:c r="L5" s="12" t="n">
        <x:v>1.1318799</x:v>
      </x:c>
      <x:c r="M5" s="12" t="n">
        <x:v>0.9837653</x:v>
      </x:c>
      <x:c r="N5" s="12" t="n">
        <x:v>1.0166207</x:v>
      </x:c>
      <x:c r="O5" s="12" t="n">
        <x:f>IF(COUNT(L5:N5)=3,AVERAGE(L5:N5),"")</x:f>
        <x:v>1.0440886333333335</x:v>
      </x:c>
      <x:c r="P5" s="13" t="n">
        <x:v>13530748844.50496</x:v>
      </x:c>
      <x:c r="Q5" s="13" t="n">
        <x:v>15082637184.04962</x:v>
      </x:c>
      <x:c r="R5" s="13" t="n">
        <x:v>16105155856.77082</x:v>
      </x:c>
      <x:c r="S5" s="13" t="n">
        <x:f>IF(COUNT(P5:R5)=3,AVERAGE(P5:R5),"")</x:f>
        <x:v>14906180628.441801</x:v>
      </x:c>
      <x:c r="T5" s="13" t="n">
        <x:v>6141.203947266163</x:v>
      </x:c>
      <x:c r="U5" s="13" t="n">
        <x:v>6749.05994339013</x:v>
      </x:c>
      <x:c r="V5" s="13" t="n">
        <x:v>7104.964010880272</x:v>
      </x:c>
      <x:c r="W5" s="13" t="n">
        <x:f>IF(COUNT(T5:V5)=3,AVERAGE(T5:V5),"")</x:f>
        <x:v>6665.075967178855</x:v>
      </x:c>
      <x:c r="X5" s="12" t="n">
        <x:v>0</x:v>
      </x:c>
      <x:c r="Y5" s="12" t="n">
        <x:v>0</x:v>
      </x:c>
      <x:c r="Z5" s="12" t="n">
        <x:v>0</x:v>
      </x:c>
      <x:c r="AA5" s="12" t="n">
        <x:f>IF(COUNT(X5:Z5)=3,AVERAGE(X5:Z5),"")</x:f>
        <x:v>0</x:v>
      </x:c>
      <x:c r="AB5" s="12" t="n">
        <x:v>0</x:v>
      </x:c>
      <x:c r="AC5" s="12" t="n">
        <x:v>0</x:v>
      </x:c>
      <x:c r="AD5" s="12" t="n">
        <x:v>0</x:v>
      </x:c>
      <x:c r="AE5" s="12" t="n">
        <x:f>IF(COUNT(AB5:AD5)=3,AVERAGE(AB5:AD5),"")</x:f>
        <x:v>0</x:v>
      </x:c>
      <x:c r="AF5" s="12" t="n">
        <x:v>0.307384412369603</x:v>
      </x:c>
      <x:c r="AG5" s="12" t="n">
        <x:v>0.279219006721672</x:v>
      </x:c>
      <x:c r="AH5" s="12" t="n">
        <x:v>0.41284939046878</x:v>
      </x:c>
      <x:c r="AI5" s="12" t="n">
        <x:f>IF(COUNT(AF5:AH5)=3,AVERAGE(AF5:AH5),"")</x:f>
        <x:v>0.3331509365200183</x:v>
      </x:c>
      <x:c r="AJ5" s="12" t="n">
        <x:f>IF(COUNT(X5,AB5,AF5)=3,SUM(X5,AB5,AF5),"")</x:f>
        <x:v>0.307384412369603</x:v>
      </x:c>
      <x:c r="AK5" s="12" t="n">
        <x:f>IF(COUNT(Y5,AC5,AG5)=3,SUM(Y5,AC5,AG5),"")</x:f>
        <x:v>0.279219006721672</x:v>
      </x:c>
      <x:c r="AL5" s="12" t="n">
        <x:f>IF(COUNT(Z5,AD5,AH5)=3,SUM(Z5,AD5,AH5),"")</x:f>
        <x:v>0.41284939046878</x:v>
      </x:c>
      <x:c r="AM5" s="12" t="n">
        <x:f>IF(COUNT(AJ5:AL5)=3,AVERAGE(AJ5:AL5),"")</x:f>
        <x:v>0.3331509365200183</x:v>
      </x:c>
      <x:c r="AN5" s="11" t="n">
        <x:v>0</x:v>
      </x:c>
      <x:c r="AO5" s="11" t="n">
        <x:v>0</x:v>
      </x:c>
      <x:c r="AP5" s="11" t="n">
        <x:v>0</x:v>
      </x:c>
      <x:c r="AQ5" s="11" t="n">
        <x:v>0</x:v>
      </x:c>
      <x:c r="AR5" s="11" t="n">
        <x:v>0</x:v>
      </x:c>
      <x:c r="AS5" s="11" t="n">
        <x:v>0</x:v>
      </x:c>
      <x:c r="AT5" s="11" t="n">
        <x:v>0</x:v>
      </x:c>
      <x:c r="AU5" s="11" t="n">
        <x:v>0</x:v>
      </x:c>
      <x:c r="AV5" s="4" t="inlineStr">
        <x:is>
          <x:t xml:space="preserve"/>
        </x:is>
      </x:c>
      <x:c r="AW5" s="4" t="inlineStr">
        <x:is>
          <x:t xml:space="preserve">Complete for all raw variables in 2015–2017</x:t>
        </x:is>
      </x:c>
    </x:row>
    <x:row r="6">
      <x:c r="A6" s="11" t="inlineStr">
        <x:is>
          <x:t xml:space="preserve">Burkina Faso</x:t>
        </x:is>
      </x:c>
      <x:c r="B6" s="11" t="inlineStr">
        <x:is>
          <x:t xml:space="preserve">布基纳法索</x:t>
        </x:is>
      </x:c>
      <x:c r="C6" s="11" t="inlineStr">
        <x:is>
          <x:t xml:space="preserve">BFA</x:t>
        </x:is>
      </x:c>
      <x:c r="D6" s="11" t="inlineStr">
        <x:is>
          <x:t xml:space="preserve">Lagging</x:t>
        </x:is>
      </x:c>
      <x:c r="E6" s="4" t="inlineStr">
        <x:is>
          <x:t xml:space="preserve">Transition-Constrained Archetype</x:t>
        </x:is>
      </x:c>
      <x:c r="F6" s="4" t="inlineStr">
        <x:is>
          <x:t xml:space="preserve">High stability</x:t>
        </x:is>
      </x:c>
      <x:c r="G6" s="11" t="n"/>
      <x:c r="H6" s="12" t="n">
        <x:v>-0.6531110999999999</x:v>
      </x:c>
      <x:c r="I6" s="12" t="n">
        <x:v>-0.5249351999999999</x:v>
      </x:c>
      <x:c r="J6" s="12" t="n">
        <x:v>-0.5109374999999999</x:v>
      </x:c>
      <x:c r="K6" s="12" t="n">
        <x:f>IF(COUNT(H6:J6)=3,AVERAGE(H6:J6),"")</x:f>
        <x:v>-0.5629946</x:v>
      </x:c>
      <x:c r="L6" s="12" t="n">
        <x:v>-0.6795154</x:v>
      </x:c>
      <x:c r="M6" s="12" t="n">
        <x:v>-0.9073878</x:v>
      </x:c>
      <x:c r="N6" s="12" t="n">
        <x:v>-0.8556655999999999</x:v>
      </x:c>
      <x:c r="O6" s="12" t="n">
        <x:f>IF(COUNT(L6:N6)=3,AVERAGE(L6:N6),"")</x:f>
        <x:v>-0.8141896000000001</x:v>
      </x:c>
      <x:c r="P6" s="13" t="n">
        <x:v>11832159315.62978</x:v>
      </x:c>
      <x:c r="Q6" s="13" t="n">
        <x:v>12833363045.33665</x:v>
      </x:c>
      <x:c r="R6" s="13" t="n">
        <x:v>14106955615.34418</x:v>
      </x:c>
      <x:c r="S6" s="13" t="n">
        <x:f>IF(COUNT(P6:R6)=3,AVERAGE(P6:R6),"")</x:f>
        <x:v>12924159325.436869</x:v>
      </x:c>
      <x:c r="T6" s="13" t="n">
        <x:v>630.124750752312</x:v>
      </x:c>
      <x:c r="U6" s="13" t="n">
        <x:v>663.7423648428855</x:v>
      </x:c>
      <x:c r="V6" s="13" t="n">
        <x:v>709.0915358946953</x:v>
      </x:c>
      <x:c r="W6" s="13" t="n">
        <x:f>IF(COUNT(T6:V6)=3,AVERAGE(T6:V6),"")</x:f>
        <x:v>667.6528838299643</x:v>
      </x:c>
      <x:c r="X6" s="12" t="n">
        <x:v>0</x:v>
      </x:c>
      <x:c r="Y6" s="12" t="n">
        <x:v>0</x:v>
      </x:c>
      <x:c r="Z6" s="12" t="n">
        <x:v>0</x:v>
      </x:c>
      <x:c r="AA6" s="12" t="n">
        <x:f>IF(COUNT(X6:Z6)=3,AVERAGE(X6:Z6),"")</x:f>
        <x:v>0</x:v>
      </x:c>
      <x:c r="AB6" s="12" t="n">
        <x:v>0</x:v>
      </x:c>
      <x:c r="AC6" s="12" t="n">
        <x:v>0</x:v>
      </x:c>
      <x:c r="AD6" s="12" t="n">
        <x:v>0</x:v>
      </x:c>
      <x:c r="AE6" s="12" t="n">
        <x:f>IF(COUNT(AB6:AD6)=3,AVERAGE(AB6:AD6),"")</x:f>
        <x:v>0</x:v>
      </x:c>
      <x:c r="AF6" s="12" t="n">
        <x:v>0</x:v>
      </x:c>
      <x:c r="AG6" s="12" t="n">
        <x:v>0</x:v>
      </x:c>
      <x:c r="AH6" s="12" t="n">
        <x:v>0</x:v>
      </x:c>
      <x:c r="AI6" s="12" t="n">
        <x:f>IF(COUNT(AF6:AH6)=3,AVERAGE(AF6:AH6),"")</x:f>
        <x:v>0</x:v>
      </x:c>
      <x:c r="AJ6" s="12" t="n">
        <x:f>IF(COUNT(X6,AB6,AF6)=3,SUM(X6,AB6,AF6),"")</x:f>
        <x:v>0</x:v>
      </x:c>
      <x:c r="AK6" s="12" t="n">
        <x:f>IF(COUNT(Y6,AC6,AG6)=3,SUM(Y6,AC6,AG6),"")</x:f>
        <x:v>0</x:v>
      </x:c>
      <x:c r="AL6" s="12" t="n">
        <x:f>IF(COUNT(Z6,AD6,AH6)=3,SUM(Z6,AD6,AH6),"")</x:f>
        <x:v>0</x:v>
      </x:c>
      <x:c r="AM6" s="12" t="n">
        <x:f>IF(COUNT(AJ6:AL6)=3,AVERAGE(AJ6:AL6),"")</x:f>
        <x:v>0</x:v>
      </x:c>
      <x:c r="AN6" s="11" t="n">
        <x:v>0</x:v>
      </x:c>
      <x:c r="AO6" s="11" t="n">
        <x:v>0</x:v>
      </x:c>
      <x:c r="AP6" s="11" t="n">
        <x:v>0</x:v>
      </x:c>
      <x:c r="AQ6" s="11" t="n">
        <x:v>0</x:v>
      </x:c>
      <x:c r="AR6" s="11" t="n">
        <x:v>0</x:v>
      </x:c>
      <x:c r="AS6" s="11" t="n">
        <x:v>0</x:v>
      </x:c>
      <x:c r="AT6" s="11" t="n">
        <x:v>0</x:v>
      </x:c>
      <x:c r="AU6" s="11" t="n">
        <x:v>0</x:v>
      </x:c>
      <x:c r="AV6" s="4" t="inlineStr">
        <x:is>
          <x:t xml:space="preserve"/>
        </x:is>
      </x:c>
      <x:c r="AW6" s="4" t="inlineStr">
        <x:is>
          <x:t xml:space="preserve">Complete for all raw variables in 2015–2017</x:t>
        </x:is>
      </x:c>
    </x:row>
    <x:row r="7">
      <x:c r="A7" s="11" t="inlineStr">
        <x:is>
          <x:t xml:space="preserve">Burundi</x:t>
        </x:is>
      </x:c>
      <x:c r="B7" s="11" t="inlineStr">
        <x:is>
          <x:t xml:space="preserve">布隆迪</x:t>
        </x:is>
      </x:c>
      <x:c r="C7" s="11" t="inlineStr">
        <x:is>
          <x:t xml:space="preserve">BDI</x:t>
        </x:is>
      </x:c>
      <x:c r="D7" s="11" t="inlineStr">
        <x:is>
          <x:t xml:space="preserve">Lagging</x:t>
        </x:is>
      </x:c>
      <x:c r="E7" s="4" t="inlineStr">
        <x:is>
          <x:t xml:space="preserve">Transition-Constrained Archetype</x:t>
        </x:is>
      </x:c>
      <x:c r="F7" s="4" t="inlineStr">
        <x:is>
          <x:t xml:space="preserve">High stability</x:t>
        </x:is>
      </x:c>
      <x:c r="G7" s="11" t="n"/>
      <x:c r="H7" s="12" t="n">
        <x:v>-0.9257031999999999</x:v>
      </x:c>
      <x:c r="I7" s="12" t="n">
        <x:v>-1.0721309</x:v>
      </x:c>
      <x:c r="J7" s="12" t="n">
        <x:v>-0.9217582999999999</x:v>
      </x:c>
      <x:c r="K7" s="12" t="n">
        <x:f>IF(COUNT(H7:J7)=3,AVERAGE(H7:J7),"")</x:f>
        <x:v>-0.9731974666666666</x:v>
      </x:c>
      <x:c r="L7" s="12" t="n">
        <x:v>-2.0364509</x:v>
      </x:c>
      <x:c r="M7" s="12" t="n">
        <x:v>-2.106715</x:v>
      </x:c>
      <x:c r="N7" s="12" t="n">
        <x:v>-2.0904201</x:v>
      </x:c>
      <x:c r="O7" s="12" t="n">
        <x:f>IF(COUNT(L7:N7)=3,AVERAGE(L7:N7),"")</x:f>
        <x:v>-2.0778619999999997</x:v>
      </x:c>
      <x:c r="P7" s="13" t="n">
        <x:v>2810532912.499755</x:v>
      </x:c>
      <x:c r="Q7" s="13" t="n">
        <x:v>2618093125.146873</x:v>
      </x:c>
      <x:c r="R7" s="13" t="n">
        <x:v>2831362208.340392</x:v>
      </x:c>
      <x:c r="S7" s="13" t="n">
        <x:f>IF(COUNT(P7:R7)=3,AVERAGE(P7:R7),"")</x:f>
        <x:v>2753329415.3290067</x:v>
      </x:c>
      <x:c r="T7" s="13" t="n">
        <x:v>254.4025852267877</x:v>
      </x:c>
      <x:c r="U7" s="13" t="n">
        <x:v>232.9378121001527</x:v>
      </x:c>
      <x:c r="V7" s="13" t="n">
        <x:v>246.0607257141837</x:v>
      </x:c>
      <x:c r="W7" s="13" t="n">
        <x:f>IF(COUNT(T7:V7)=3,AVERAGE(T7:V7),"")</x:f>
        <x:v>244.46704101370804</x:v>
      </x:c>
      <x:c r="X7" s="12" t="n">
        <x:v>0</x:v>
      </x:c>
      <x:c r="Y7" s="12" t="n">
        <x:v>0</x:v>
      </x:c>
      <x:c r="Z7" s="12" t="n">
        <x:v>0</x:v>
      </x:c>
      <x:c r="AA7" s="12" t="n">
        <x:f>IF(COUNT(X7:Z7)=3,AVERAGE(X7:Z7),"")</x:f>
        <x:v>0</x:v>
      </x:c>
      <x:c r="AB7" s="12" t="n">
        <x:v>0</x:v>
      </x:c>
      <x:c r="AC7" s="12" t="n">
        <x:v>0</x:v>
      </x:c>
      <x:c r="AD7" s="12" t="n">
        <x:v>0</x:v>
      </x:c>
      <x:c r="AE7" s="12" t="n">
        <x:f>IF(COUNT(AB7:AD7)=3,AVERAGE(AB7:AD7),"")</x:f>
        <x:v>0</x:v>
      </x:c>
      <x:c r="AF7" s="12" t="n">
        <x:v>0</x:v>
      </x:c>
      <x:c r="AG7" s="12" t="n">
        <x:v>0</x:v>
      </x:c>
      <x:c r="AH7" s="12" t="n">
        <x:v>0</x:v>
      </x:c>
      <x:c r="AI7" s="12" t="n">
        <x:f>IF(COUNT(AF7:AH7)=3,AVERAGE(AF7:AH7),"")</x:f>
        <x:v>0</x:v>
      </x:c>
      <x:c r="AJ7" s="12" t="n">
        <x:f>IF(COUNT(X7,AB7,AF7)=3,SUM(X7,AB7,AF7),"")</x:f>
        <x:v>0</x:v>
      </x:c>
      <x:c r="AK7" s="12" t="n">
        <x:f>IF(COUNT(Y7,AC7,AG7)=3,SUM(Y7,AC7,AG7),"")</x:f>
        <x:v>0</x:v>
      </x:c>
      <x:c r="AL7" s="12" t="n">
        <x:f>IF(COUNT(Z7,AD7,AH7)=3,SUM(Z7,AD7,AH7),"")</x:f>
        <x:v>0</x:v>
      </x:c>
      <x:c r="AM7" s="12" t="n">
        <x:f>IF(COUNT(AJ7:AL7)=3,AVERAGE(AJ7:AL7),"")</x:f>
        <x:v>0</x:v>
      </x:c>
      <x:c r="AN7" s="11" t="n">
        <x:v>0</x:v>
      </x:c>
      <x:c r="AO7" s="11" t="n">
        <x:v>0</x:v>
      </x:c>
      <x:c r="AP7" s="11" t="n">
        <x:v>0</x:v>
      </x:c>
      <x:c r="AQ7" s="11" t="n">
        <x:v>0</x:v>
      </x:c>
      <x:c r="AR7" s="11" t="n">
        <x:v>0</x:v>
      </x:c>
      <x:c r="AS7" s="11" t="n">
        <x:v>0</x:v>
      </x:c>
      <x:c r="AT7" s="11" t="n">
        <x:v>0</x:v>
      </x:c>
      <x:c r="AU7" s="11" t="n">
        <x:v>0</x:v>
      </x:c>
      <x:c r="AV7" s="4" t="inlineStr">
        <x:is>
          <x:t xml:space="preserve"/>
        </x:is>
      </x:c>
      <x:c r="AW7" s="4" t="inlineStr">
        <x:is>
          <x:t xml:space="preserve">Complete for all raw variables in 2015–2017</x:t>
        </x:is>
      </x:c>
    </x:row>
    <x:row r="8">
      <x:c r="A8" s="11" t="inlineStr">
        <x:is>
          <x:t xml:space="preserve">Cabo Verde</x:t>
        </x:is>
      </x:c>
      <x:c r="B8" s="11" t="inlineStr">
        <x:is>
          <x:t xml:space="preserve">佛得角</x:t>
        </x:is>
      </x:c>
      <x:c r="C8" s="11" t="inlineStr">
        <x:is>
          <x:t xml:space="preserve">CPV</x:t>
        </x:is>
      </x:c>
      <x:c r="D8" s="11" t="inlineStr">
        <x:is>
          <x:t xml:space="preserve">Balancing</x:t>
        </x:is>
      </x:c>
      <x:c r="E8" s="4" t="inlineStr">
        <x:is>
          <x:t xml:space="preserve">System-Deepening Archetype</x:t>
        </x:is>
      </x:c>
      <x:c r="F8" s="4" t="inlineStr">
        <x:is>
          <x:t xml:space="preserve">High stability</x:t>
        </x:is>
      </x:c>
      <x:c r="G8" s="11" t="n"/>
      <x:c r="H8" s="12" t="n">
        <x:v>0.3232931</x:v>
      </x:c>
      <x:c r="I8" s="12" t="n">
        <x:v>0.2898294</x:v>
      </x:c>
      <x:c r="J8" s="12" t="n">
        <x:v>0.3194131</x:v>
      </x:c>
      <x:c r="K8" s="12" t="n">
        <x:f>IF(COUNT(H8:J8)=3,AVERAGE(H8:J8),"")</x:f>
        <x:v>0.3108452</x:v>
      </x:c>
      <x:c r="L8" s="12" t="n">
        <x:v>0.8435225</x:v>
      </x:c>
      <x:c r="M8" s="12" t="n">
        <x:v>0.8278219999999999</x:v>
      </x:c>
      <x:c r="N8" s="12" t="n">
        <x:v>0.7203252</x:v>
      </x:c>
      <x:c r="O8" s="12" t="n">
        <x:f>IF(COUNT(L8:N8)=3,AVERAGE(L8:N8),"")</x:f>
        <x:v>0.7972232333333333</x:v>
      </x:c>
      <x:c r="P8" s="13" t="n">
        <x:v>1749857620.353287</x:v>
      </x:c>
      <x:c r="Q8" s="13" t="n">
        <x:v>1849789985.995723</x:v>
      </x:c>
      <x:c r="R8" s="13" t="n">
        <x:v>1996741539.950877</x:v>
      </x:c>
      <x:c r="S8" s="13" t="n">
        <x:f>IF(COUNT(P8:R8)=3,AVERAGE(P8:R8),"")</x:f>
        <x:v>1865463048.766629</x:v>
      </x:c>
      <x:c r="T8" s="13" t="n">
        <x:v>3415.062667309312</x:v>
      </x:c>
      <x:c r="U8" s="13" t="n">
        <x:v>3608.966052349065</x:v>
      </x:c>
      <x:c r="V8" s="13" t="n">
        <x:v>3893.095713825062</x:v>
      </x:c>
      <x:c r="W8" s="13" t="n">
        <x:f>IF(COUNT(T8:V8)=3,AVERAGE(T8:V8),"")</x:f>
        <x:v>3639.041477827813</x:v>
      </x:c>
      <x:c r="X8" s="12" t="n">
        <x:v>0</x:v>
      </x:c>
      <x:c r="Y8" s="12" t="n">
        <x:v>0</x:v>
      </x:c>
      <x:c r="Z8" s="12" t="n">
        <x:v>0</x:v>
      </x:c>
      <x:c r="AA8" s="12" t="n">
        <x:f>IF(COUNT(X8:Z8)=3,AVERAGE(X8:Z8),"")</x:f>
        <x:v>0</x:v>
      </x:c>
      <x:c r="AB8" s="12" t="n">
        <x:v>0</x:v>
      </x:c>
      <x:c r="AC8" s="12" t="n">
        <x:v>0</x:v>
      </x:c>
      <x:c r="AD8" s="12" t="n">
        <x:v>0</x:v>
      </x:c>
      <x:c r="AE8" s="12" t="n">
        <x:f>IF(COUNT(AB8:AD8)=3,AVERAGE(AB8:AD8),"")</x:f>
        <x:v>0</x:v>
      </x:c>
      <x:c r="AF8" s="12" t="n">
        <x:v>8.697125106220881</x:v>
      </x:c>
      <x:c r="AG8" s="12" t="n">
        <x:v>9.38675264949474</x:v>
      </x:c>
      <x:c r="AH8" s="12" t="n">
        <x:v>11.6082269487291</x:v>
      </x:c>
      <x:c r="AI8" s="12" t="n">
        <x:f>IF(COUNT(AF8:AH8)=3,AVERAGE(AF8:AH8),"")</x:f>
        <x:v>9.897368234814907</x:v>
      </x:c>
      <x:c r="AJ8" s="12" t="n">
        <x:f>IF(COUNT(X8,AB8,AF8)=3,SUM(X8,AB8,AF8),"")</x:f>
        <x:v>8.69712510622088</x:v>
      </x:c>
      <x:c r="AK8" s="12" t="n">
        <x:f>IF(COUNT(Y8,AC8,AG8)=3,SUM(Y8,AC8,AG8),"")</x:f>
        <x:v>9.38675264949474</x:v>
      </x:c>
      <x:c r="AL8" s="12" t="n">
        <x:f>IF(COUNT(Z8,AD8,AH8)=3,SUM(Z8,AD8,AH8),"")</x:f>
        <x:v>11.6082269487291</x:v>
      </x:c>
      <x:c r="AM8" s="12" t="n">
        <x:f>IF(COUNT(AJ8:AL8)=3,AVERAGE(AJ8:AL8),"")</x:f>
        <x:v>9.897368234814907</x:v>
      </x:c>
      <x:c r="AN8" s="11" t="n">
        <x:v>0</x:v>
      </x:c>
      <x:c r="AO8" s="11" t="n">
        <x:v>0</x:v>
      </x:c>
      <x:c r="AP8" s="11" t="n">
        <x:v>0</x:v>
      </x:c>
      <x:c r="AQ8" s="11" t="n">
        <x:v>0</x:v>
      </x:c>
      <x:c r="AR8" s="11" t="n">
        <x:v>0</x:v>
      </x:c>
      <x:c r="AS8" s="11" t="n">
        <x:v>0</x:v>
      </x:c>
      <x:c r="AT8" s="11" t="n">
        <x:v>0</x:v>
      </x:c>
      <x:c r="AU8" s="11" t="n">
        <x:v>0</x:v>
      </x:c>
      <x:c r="AV8" s="4" t="inlineStr">
        <x:is>
          <x:t xml:space="preserve"/>
        </x:is>
      </x:c>
      <x:c r="AW8" s="4" t="inlineStr">
        <x:is>
          <x:t xml:space="preserve">Complete for all raw variables in 2015–2017</x:t>
        </x:is>
      </x:c>
    </x:row>
    <x:row r="9">
      <x:c r="A9" s="11" t="inlineStr">
        <x:is>
          <x:t xml:space="preserve">Cameroon</x:t>
        </x:is>
      </x:c>
      <x:c r="B9" s="11" t="inlineStr">
        <x:is>
          <x:t xml:space="preserve">喀麦隆</x:t>
        </x:is>
      </x:c>
      <x:c r="C9" s="11" t="inlineStr">
        <x:is>
          <x:t xml:space="preserve">CMR</x:t>
        </x:is>
      </x:c>
      <x:c r="D9" s="11" t="inlineStr">
        <x:is>
          <x:t xml:space="preserve">Balancing</x:t>
        </x:is>
      </x:c>
      <x:c r="E9" s="4" t="inlineStr">
        <x:is>
          <x:t xml:space="preserve">System-Deepening Archetype</x:t>
        </x:is>
      </x:c>
      <x:c r="F9" s="4" t="inlineStr">
        <x:is>
          <x:t xml:space="preserve">High stability</x:t>
        </x:is>
      </x:c>
      <x:c r="G9" s="11" t="n"/>
      <x:c r="H9" s="12" t="n">
        <x:v>-0.6267228</x:v>
      </x:c>
      <x:c r="I9" s="12" t="n">
        <x:v>-0.6124980999999999</x:v>
      </x:c>
      <x:c r="J9" s="12" t="n">
        <x:v>-0.6251</x:v>
      </x:c>
      <x:c r="K9" s="12" t="n">
        <x:f>IF(COUNT(H9:J9)=3,AVERAGE(H9:J9),"")</x:f>
        <x:v>-0.6214403</x:v>
      </x:c>
      <x:c r="L9" s="12" t="n">
        <x:v>-1.0831153</x:v>
      </x:c>
      <x:c r="M9" s="12" t="n">
        <x:v>-1.1424059</x:v>
      </x:c>
      <x:c r="N9" s="12" t="n">
        <x:v>-1.1934513</x:v>
      </x:c>
      <x:c r="O9" s="12" t="n">
        <x:f>IF(COUNT(L9:N9)=3,AVERAGE(L9:N9),"")</x:f>
        <x:v>-1.1396575</x:v>
      </x:c>
      <x:c r="P9" s="13" t="n">
        <x:v>32210233020.45692</x:v>
      </x:c>
      <x:c r="Q9" s="13" t="n">
        <x:v>33814337044.37647</x:v>
      </x:c>
      <x:c r="R9" s="13" t="n">
        <x:v>36098547033.16547</x:v>
      </x:c>
      <x:c r="S9" s="13" t="n">
        <x:f>IF(COUNT(P9:R9)=3,AVERAGE(P9:R9),"")</x:f>
        <x:v>34041039032.666286</x:v>
      </x:c>
      <x:c r="T9" s="13" t="n">
        <x:v>1415.000097105685</x:v>
      </x:c>
      <x:c r="U9" s="13" t="n">
        <x:v>1441.720172568802</x:v>
      </x:c>
      <x:c r="V9" s="13" t="n">
        <x:v>1496.089517712422</x:v>
      </x:c>
      <x:c r="W9" s="13" t="n">
        <x:f>IF(COUNT(T9:V9)=3,AVERAGE(T9:V9),"")</x:f>
        <x:v>1450.9365957956363</x:v>
      </x:c>
      <x:c r="X9" s="12" t="n">
        <x:v>1.89664344480798</x:v>
      </x:c>
      <x:c r="Y9" s="12" t="n">
        <x:v>1.55546940126434</x:v>
      </x:c>
      <x:c r="Z9" s="12" t="n">
        <x:v>2.19707562839754</x:v>
      </x:c>
      <x:c r="AA9" s="12" t="n">
        <x:f>IF(COUNT(X9:Z9)=3,AVERAGE(X9:Z9),"")</x:f>
        <x:v>1.8830628248232868</x:v>
      </x:c>
      <x:c r="AB9" s="12" t="n">
        <x:v>0.109547491948903</x:v>
      </x:c>
      <x:c r="AC9" s="12" t="n">
        <x:v>0.075259562096555</x:v>
      </x:c>
      <x:c r="AD9" s="12" t="n">
        <x:v>0.0955529946977523</x:v>
      </x:c>
      <x:c r="AE9" s="12" t="n">
        <x:f>IF(COUNT(AB9:AD9)=3,AVERAGE(AB9:AD9),"")</x:f>
        <x:v>0.0934533495810701</x:v>
      </x:c>
      <x:c r="AF9" s="12" t="n">
        <x:v>0</x:v>
      </x:c>
      <x:c r="AG9" s="12" t="n">
        <x:v>0</x:v>
      </x:c>
      <x:c r="AH9" s="12" t="n">
        <x:v>0</x:v>
      </x:c>
      <x:c r="AI9" s="12" t="n">
        <x:f>IF(COUNT(AF9:AH9)=3,AVERAGE(AF9:AH9),"")</x:f>
        <x:v>0</x:v>
      </x:c>
      <x:c r="AJ9" s="12" t="n">
        <x:f>IF(COUNT(X9,AB9,AF9)=3,SUM(X9,AB9,AF9),"")</x:f>
        <x:v>2.006190936756883</x:v>
      </x:c>
      <x:c r="AK9" s="12" t="n">
        <x:f>IF(COUNT(Y9,AC9,AG9)=3,SUM(Y9,AC9,AG9),"")</x:f>
        <x:v>1.630728963360895</x:v>
      </x:c>
      <x:c r="AL9" s="12" t="n">
        <x:f>IF(COUNT(Z9,AD9,AH9)=3,SUM(Z9,AD9,AH9),"")</x:f>
        <x:v>2.2926286230952924</x:v>
      </x:c>
      <x:c r="AM9" s="12" t="n">
        <x:f>IF(COUNT(AJ9:AL9)=3,AVERAGE(AJ9:AL9),"")</x:f>
        <x:v>1.9765161744043567</x:v>
      </x:c>
      <x:c r="AN9" s="11" t="n">
        <x:v>0</x:v>
      </x:c>
      <x:c r="AO9" s="11" t="n">
        <x:v>0</x:v>
      </x:c>
      <x:c r="AP9" s="11" t="n">
        <x:v>0</x:v>
      </x:c>
      <x:c r="AQ9" s="11" t="n">
        <x:v>0</x:v>
      </x:c>
      <x:c r="AR9" s="11" t="n">
        <x:v>0</x:v>
      </x:c>
      <x:c r="AS9" s="11" t="n">
        <x:v>0</x:v>
      </x:c>
      <x:c r="AT9" s="11" t="n">
        <x:v>0</x:v>
      </x:c>
      <x:c r="AU9" s="11" t="n">
        <x:v>0</x:v>
      </x:c>
      <x:c r="AV9" s="4" t="inlineStr">
        <x:is>
          <x:t xml:space="preserve"/>
        </x:is>
      </x:c>
      <x:c r="AW9" s="4" t="inlineStr">
        <x:is>
          <x:t xml:space="preserve">Complete for all raw variables in 2015–2017</x:t>
        </x:is>
      </x:c>
    </x:row>
    <x:row r="10">
      <x:c r="A10" s="11" t="inlineStr">
        <x:is>
          <x:t xml:space="preserve">Central African Republic</x:t>
        </x:is>
      </x:c>
      <x:c r="B10" s="11" t="inlineStr">
        <x:is>
          <x:t xml:space="preserve">中非共和国</x:t>
        </x:is>
      </x:c>
      <x:c r="C10" s="11" t="inlineStr">
        <x:is>
          <x:t xml:space="preserve">CAF</x:t>
        </x:is>
      </x:c>
      <x:c r="D10" s="11" t="inlineStr">
        <x:is>
          <x:t xml:space="preserve">Lagging</x:t>
        </x:is>
      </x:c>
      <x:c r="E10" s="4" t="inlineStr">
        <x:is>
          <x:t xml:space="preserve">Transition-Constrained Archetype</x:t>
        </x:is>
      </x:c>
      <x:c r="F10" s="4" t="inlineStr">
        <x:is>
          <x:t xml:space="preserve">High stability</x:t>
        </x:is>
      </x:c>
      <x:c r="G10" s="11" t="n"/>
      <x:c r="H10" s="12" t="n">
        <x:v>-1.6179467</x:v>
      </x:c>
      <x:c r="I10" s="12" t="n">
        <x:v>-1.5617326</x:v>
      </x:c>
      <x:c r="J10" s="12" t="n">
        <x:v>-1.5629538</x:v>
      </x:c>
      <x:c r="K10" s="12" t="n">
        <x:f>IF(COUNT(H10:J10)=3,AVERAGE(H10:J10),"")</x:f>
        <x:v>-1.5808777</x:v>
      </x:c>
      <x:c r="L10" s="12" t="n">
        <x:v>-1.8904664</x:v>
      </x:c>
      <x:c r="M10" s="12" t="n">
        <x:v>-1.698431</x:v>
      </x:c>
      <x:c r="N10" s="12" t="n">
        <x:v>-1.8265104</x:v>
      </x:c>
      <x:c r="O10" s="12" t="n">
        <x:f>IF(COUNT(L10:N10)=3,AVERAGE(L10:N10),"")</x:f>
        <x:v>-1.8051359333333334</x:v>
      </x:c>
      <x:c r="P10" s="13" t="n">
        <x:v>1695825714.192821</x:v>
      </x:c>
      <x:c r="Q10" s="13" t="n">
        <x:v>1825018144.655953</x:v>
      </x:c>
      <x:c r="R10" s="13" t="n">
        <x:v>2072349972.681795</x:v>
      </x:c>
      <x:c r="S10" s="13" t="n">
        <x:f>IF(COUNT(P10:R10)=3,AVERAGE(P10:R10),"")</x:f>
        <x:v>1864397943.843523</x:v>
      </x:c>
      <x:c r="T10" s="13" t="n">
        <x:v>366.3228539381206</x:v>
      </x:c>
      <x:c r="U10" s="13" t="n">
        <x:v>387.1762034443178</x:v>
      </x:c>
      <x:c r="V10" s="13" t="n">
        <x:v>432.3240256842626</x:v>
      </x:c>
      <x:c r="W10" s="13" t="n">
        <x:f>IF(COUNT(T10:V10)=3,AVERAGE(T10:V10),"")</x:f>
        <x:v>395.2743610222337</x:v>
      </x:c>
      <x:c r="X10" s="12" t="n">
        <x:v>0</x:v>
      </x:c>
      <x:c r="Y10" s="12" t="n">
        <x:v>0</x:v>
      </x:c>
      <x:c r="Z10" s="12" t="n">
        <x:v>0</x:v>
      </x:c>
      <x:c r="AA10" s="12" t="n">
        <x:f>IF(COUNT(X10:Z10)=3,AVERAGE(X10:Z10),"")</x:f>
        <x:v>0</x:v>
      </x:c>
      <x:c r="AB10" s="12" t="n">
        <x:v>0</x:v>
      </x:c>
      <x:c r="AC10" s="12" t="n">
        <x:v>0</x:v>
      </x:c>
      <x:c r="AD10" s="12" t="n">
        <x:v>0</x:v>
      </x:c>
      <x:c r="AE10" s="12" t="n">
        <x:f>IF(COUNT(AB10:AD10)=3,AVERAGE(AB10:AD10),"")</x:f>
        <x:v>0</x:v>
      </x:c>
      <x:c r="AF10" s="12" t="n">
        <x:v>0</x:v>
      </x:c>
      <x:c r="AG10" s="12" t="n">
        <x:v>0</x:v>
      </x:c>
      <x:c r="AH10" s="12" t="n">
        <x:v>0</x:v>
      </x:c>
      <x:c r="AI10" s="12" t="n">
        <x:f>IF(COUNT(AF10:AH10)=3,AVERAGE(AF10:AH10),"")</x:f>
        <x:v>0</x:v>
      </x:c>
      <x:c r="AJ10" s="12" t="n">
        <x:f>IF(COUNT(X10,AB10,AF10)=3,SUM(X10,AB10,AF10),"")</x:f>
        <x:v>0</x:v>
      </x:c>
      <x:c r="AK10" s="12" t="n">
        <x:f>IF(COUNT(Y10,AC10,AG10)=3,SUM(Y10,AC10,AG10),"")</x:f>
        <x:v>0</x:v>
      </x:c>
      <x:c r="AL10" s="12" t="n">
        <x:f>IF(COUNT(Z10,AD10,AH10)=3,SUM(Z10,AD10,AH10),"")</x:f>
        <x:v>0</x:v>
      </x:c>
      <x:c r="AM10" s="12" t="n">
        <x:f>IF(COUNT(AJ10:AL10)=3,AVERAGE(AJ10:AL10),"")</x:f>
        <x:v>0</x:v>
      </x:c>
      <x:c r="AN10" s="11" t="n">
        <x:v>0</x:v>
      </x:c>
      <x:c r="AO10" s="11" t="n">
        <x:v>0</x:v>
      </x:c>
      <x:c r="AP10" s="11" t="n">
        <x:v>0</x:v>
      </x:c>
      <x:c r="AQ10" s="11" t="n">
        <x:v>0</x:v>
      </x:c>
      <x:c r="AR10" s="11" t="n">
        <x:v>0</x:v>
      </x:c>
      <x:c r="AS10" s="11" t="n">
        <x:v>0</x:v>
      </x:c>
      <x:c r="AT10" s="11" t="n">
        <x:v>0</x:v>
      </x:c>
      <x:c r="AU10" s="11" t="n">
        <x:v>0</x:v>
      </x:c>
      <x:c r="AV10" s="4" t="inlineStr">
        <x:is>
          <x:t xml:space="preserve"/>
        </x:is>
      </x:c>
      <x:c r="AW10" s="4" t="inlineStr">
        <x:is>
          <x:t xml:space="preserve">Complete for all raw variables in 2015–2017</x:t>
        </x:is>
      </x:c>
    </x:row>
    <x:row r="11">
      <x:c r="A11" s="11" t="inlineStr">
        <x:is>
          <x:t xml:space="preserve">Chad</x:t>
        </x:is>
      </x:c>
      <x:c r="B11" s="11" t="inlineStr">
        <x:is>
          <x:t xml:space="preserve">乍得</x:t>
        </x:is>
      </x:c>
      <x:c r="C11" s="11" t="inlineStr">
        <x:is>
          <x:t xml:space="preserve">TCD</x:t>
        </x:is>
      </x:c>
      <x:c r="D11" s="11" t="inlineStr">
        <x:is>
          <x:t xml:space="preserve">Lagging</x:t>
        </x:is>
      </x:c>
      <x:c r="E11" s="4" t="inlineStr">
        <x:is>
          <x:t xml:space="preserve">Transition-Constrained Archetype</x:t>
        </x:is>
      </x:c>
      <x:c r="F11" s="4" t="inlineStr">
        <x:is>
          <x:t xml:space="preserve">High stability</x:t>
        </x:is>
      </x:c>
      <x:c r="G11" s="11" t="n"/>
      <x:c r="H11" s="12" t="n">
        <x:v>-1.232359</x:v>
      </x:c>
      <x:c r="I11" s="12" t="n">
        <x:v>-1.1872693</x:v>
      </x:c>
      <x:c r="J11" s="12" t="n">
        <x:v>-1.10043</x:v>
      </x:c>
      <x:c r="K11" s="12" t="n">
        <x:f>IF(COUNT(H11:J11)=3,AVERAGE(H11:J11),"")</x:f>
        <x:v>-1.1733527666666668</x:v>
      </x:c>
      <x:c r="L11" s="12" t="n">
        <x:v>-1.1227573</x:v>
      </x:c>
      <x:c r="M11" s="12" t="n">
        <x:v>-1.3417072</x:v>
      </x:c>
      <x:c r="N11" s="12" t="n">
        <x:v>-1.3677159</x:v>
      </x:c>
      <x:c r="O11" s="12" t="n">
        <x:f>IF(COUNT(L11:N11)=3,AVERAGE(L11:N11),"")</x:f>
        <x:v>-1.2773934666666669</x:v>
      </x:c>
      <x:c r="P11" s="13" t="n">
        <x:v>14559599499.50111</x:v>
      </x:c>
      <x:c r="Q11" s="13" t="n">
        <x:v>13026289835.77889</x:v>
      </x:c>
      <x:c r="R11" s="13" t="n">
        <x:v>13349041408.71522</x:v>
      </x:c>
      <x:c r="S11" s="13" t="n">
        <x:f>IF(COUNT(P11:R11)=3,AVERAGE(P11:R11),"")</x:f>
        <x:v>13644976914.665071</x:v>
      </x:c>
      <x:c r="T11" s="13" t="n">
        <x:v>993.9907306108692</x:v>
      </x:c>
      <x:c r="U11" s="13" t="n">
        <x:v>861.8317676307461</x:v>
      </x:c>
      <x:c r="V11" s="13" t="n">
        <x:v>854.4612004009803</x:v>
      </x:c>
      <x:c r="W11" s="13" t="n">
        <x:f>IF(COUNT(T11:V11)=3,AVERAGE(T11:V11),"")</x:f>
        <x:v>903.4278995475319</x:v>
      </x:c>
      <x:c r="X11" s="12" t="n">
        <x:v>6.2969962979888</x:v>
      </x:c>
      <x:c r="Y11" s="12" t="n">
        <x:v>6.59687876223435</x:v>
      </x:c>
      <x:c r="Z11" s="12" t="n">
        <x:v>10.2750096848343</x:v>
      </x:c>
      <x:c r="AA11" s="12" t="n">
        <x:f>IF(COUNT(X11:Z11)=3,AVERAGE(X11:Z11),"")</x:f>
        <x:v>7.722961581685816</x:v>
      </x:c>
      <x:c r="AB11" s="12" t="n">
        <x:v>0</x:v>
      </x:c>
      <x:c r="AC11" s="12" t="n">
        <x:v>0</x:v>
      </x:c>
      <x:c r="AD11" s="12" t="n">
        <x:v>0</x:v>
      </x:c>
      <x:c r="AE11" s="12" t="n">
        <x:f>IF(COUNT(AB11:AD11)=3,AVERAGE(AB11:AD11),"")</x:f>
        <x:v>0</x:v>
      </x:c>
      <x:c r="AF11" s="12" t="n">
        <x:v>0</x:v>
      </x:c>
      <x:c r="AG11" s="12" t="n">
        <x:v>0</x:v>
      </x:c>
      <x:c r="AH11" s="12" t="n">
        <x:v>0</x:v>
      </x:c>
      <x:c r="AI11" s="12" t="n">
        <x:f>IF(COUNT(AF11:AH11)=3,AVERAGE(AF11:AH11),"")</x:f>
        <x:v>0</x:v>
      </x:c>
      <x:c r="AJ11" s="12" t="n">
        <x:f>IF(COUNT(X11,AB11,AF11)=3,SUM(X11,AB11,AF11),"")</x:f>
        <x:v>6.2969962979888</x:v>
      </x:c>
      <x:c r="AK11" s="12" t="n">
        <x:f>IF(COUNT(Y11,AC11,AG11)=3,SUM(Y11,AC11,AG11),"")</x:f>
        <x:v>6.59687876223435</x:v>
      </x:c>
      <x:c r="AL11" s="12" t="n">
        <x:f>IF(COUNT(Z11,AD11,AH11)=3,SUM(Z11,AD11,AH11),"")</x:f>
        <x:v>10.2750096848343</x:v>
      </x:c>
      <x:c r="AM11" s="12" t="n">
        <x:f>IF(COUNT(AJ11:AL11)=3,AVERAGE(AJ11:AL11),"")</x:f>
        <x:v>7.722961581685816</x:v>
      </x:c>
      <x:c r="AN11" s="11" t="n">
        <x:v>0</x:v>
      </x:c>
      <x:c r="AO11" s="11" t="n">
        <x:v>0</x:v>
      </x:c>
      <x:c r="AP11" s="11" t="n">
        <x:v>0</x:v>
      </x:c>
      <x:c r="AQ11" s="11" t="n">
        <x:v>0</x:v>
      </x:c>
      <x:c r="AR11" s="11" t="n">
        <x:v>0</x:v>
      </x:c>
      <x:c r="AS11" s="11" t="n">
        <x:v>0</x:v>
      </x:c>
      <x:c r="AT11" s="11" t="n">
        <x:v>0</x:v>
      </x:c>
      <x:c r="AU11" s="11" t="n">
        <x:v>0</x:v>
      </x:c>
      <x:c r="AV11" s="4" t="inlineStr">
        <x:is>
          <x:t xml:space="preserve"/>
        </x:is>
      </x:c>
      <x:c r="AW11" s="4" t="inlineStr">
        <x:is>
          <x:t xml:space="preserve">Complete for all raw variables in 2015–2017</x:t>
        </x:is>
      </x:c>
    </x:row>
    <x:row r="12">
      <x:c r="A12" s="11" t="inlineStr">
        <x:is>
          <x:t xml:space="preserve">Comoros</x:t>
        </x:is>
      </x:c>
      <x:c r="B12" s="11" t="inlineStr">
        <x:is>
          <x:t xml:space="preserve">科摩罗</x:t>
        </x:is>
      </x:c>
      <x:c r="C12" s="11" t="inlineStr">
        <x:is>
          <x:t xml:space="preserve">COM</x:t>
        </x:is>
      </x:c>
      <x:c r="D12" s="11" t="inlineStr">
        <x:is>
          <x:t xml:space="preserve">Lagging</x:t>
        </x:is>
      </x:c>
      <x:c r="E12" s="4" t="inlineStr">
        <x:is>
          <x:t xml:space="preserve">Transition-Constrained Archetype</x:t>
        </x:is>
      </x:c>
      <x:c r="F12" s="4" t="inlineStr">
        <x:is>
          <x:t xml:space="preserve">High stability</x:t>
        </x:is>
      </x:c>
      <x:c r="G12" s="11" t="n"/>
      <x:c r="H12" s="12" t="n">
        <x:v>-1.4105773</x:v>
      </x:c>
      <x:c r="I12" s="12" t="n">
        <x:v>-1.3535015</x:v>
      </x:c>
      <x:c r="J12" s="12" t="n">
        <x:v>-1.2955426</x:v>
      </x:c>
      <x:c r="K12" s="12" t="n">
        <x:f>IF(COUNT(H12:J12)=3,AVERAGE(H12:J12),"")</x:f>
        <x:v>-1.3532071333333333</x:v>
      </x:c>
      <x:c r="L12" s="12" t="n">
        <x:v>-0.09667819999999999</x:v>
      </x:c>
      <x:c r="M12" s="12" t="n">
        <x:v>-0.2599683</x:v>
      </x:c>
      <x:c r="N12" s="12" t="n">
        <x:v>-0.1999982</x:v>
      </x:c>
      <x:c r="O12" s="12" t="n">
        <x:f>IF(COUNT(L12:N12)=3,AVERAGE(L12:N12),"")</x:f>
        <x:v>-0.18554823333333334</x:v>
      </x:c>
      <x:c r="P12" s="13" t="n">
        <x:v>966029600.8622274</x:v>
      </x:c>
      <x:c r="Q12" s="13" t="n">
        <x:v>1012835493.193246</x:v>
      </x:c>
      <x:c r="R12" s="13" t="n">
        <x:v>1077439756.594511</x:v>
      </x:c>
      <x:c r="S12" s="13" t="n">
        <x:f>IF(COUNT(P12:R12)=3,AVERAGE(P12:R12),"")</x:f>
        <x:v>1018768283.5499948</x:v>
      </x:c>
      <x:c r="T12" s="13" t="n">
        <x:v>1329.37048235986</x:v>
      </x:c>
      <x:c r="U12" s="13" t="n">
        <x:v>1365.484034444969</x:v>
      </x:c>
      <x:c r="V12" s="13" t="n">
        <x:v>1423.924802779698</x:v>
      </x:c>
      <x:c r="W12" s="13" t="n">
        <x:f>IF(COUNT(T12:V12)=3,AVERAGE(T12:V12),"")</x:f>
        <x:v>1372.926439861509</x:v>
      </x:c>
      <x:c r="X12" s="12" t="n">
        <x:v>0</x:v>
      </x:c>
      <x:c r="Y12" s="12" t="n">
        <x:v>0</x:v>
      </x:c>
      <x:c r="Z12" s="12" t="n">
        <x:v>0</x:v>
      </x:c>
      <x:c r="AA12" s="12" t="n">
        <x:f>IF(COUNT(X12:Z12)=3,AVERAGE(X12:Z12),"")</x:f>
        <x:v>0</x:v>
      </x:c>
      <x:c r="AB12" s="12" t="n">
        <x:v>0</x:v>
      </x:c>
      <x:c r="AC12" s="12" t="n">
        <x:v>0</x:v>
      </x:c>
      <x:c r="AD12" s="12" t="n">
        <x:v>0</x:v>
      </x:c>
      <x:c r="AE12" s="12" t="n">
        <x:f>IF(COUNT(AB12:AD12)=3,AVERAGE(AB12:AD12),"")</x:f>
        <x:v>0</x:v>
      </x:c>
      <x:c r="AF12" s="12" t="n">
        <x:v>0</x:v>
      </x:c>
      <x:c r="AG12" s="12" t="n">
        <x:v>0</x:v>
      </x:c>
      <x:c r="AH12" s="12" t="n">
        <x:v>0</x:v>
      </x:c>
      <x:c r="AI12" s="12" t="n">
        <x:f>IF(COUNT(AF12:AH12)=3,AVERAGE(AF12:AH12),"")</x:f>
        <x:v>0</x:v>
      </x:c>
      <x:c r="AJ12" s="12" t="n">
        <x:f>IF(COUNT(X12,AB12,AF12)=3,SUM(X12,AB12,AF12),"")</x:f>
        <x:v>0</x:v>
      </x:c>
      <x:c r="AK12" s="12" t="n">
        <x:f>IF(COUNT(Y12,AC12,AG12)=3,SUM(Y12,AC12,AG12),"")</x:f>
        <x:v>0</x:v>
      </x:c>
      <x:c r="AL12" s="12" t="n">
        <x:f>IF(COUNT(Z12,AD12,AH12)=3,SUM(Z12,AD12,AH12),"")</x:f>
        <x:v>0</x:v>
      </x:c>
      <x:c r="AM12" s="12" t="n">
        <x:f>IF(COUNT(AJ12:AL12)=3,AVERAGE(AJ12:AL12),"")</x:f>
        <x:v>0</x:v>
      </x:c>
      <x:c r="AN12" s="11" t="n">
        <x:v>0</x:v>
      </x:c>
      <x:c r="AO12" s="11" t="n">
        <x:v>0</x:v>
      </x:c>
      <x:c r="AP12" s="11" t="n">
        <x:v>0</x:v>
      </x:c>
      <x:c r="AQ12" s="11" t="n">
        <x:v>0</x:v>
      </x:c>
      <x:c r="AR12" s="11" t="n">
        <x:v>0</x:v>
      </x:c>
      <x:c r="AS12" s="11" t="n">
        <x:v>0</x:v>
      </x:c>
      <x:c r="AT12" s="11" t="n">
        <x:v>0</x:v>
      </x:c>
      <x:c r="AU12" s="11" t="n">
        <x:v>0</x:v>
      </x:c>
      <x:c r="AV12" s="4" t="inlineStr">
        <x:is>
          <x:t xml:space="preserve"/>
        </x:is>
      </x:c>
      <x:c r="AW12" s="4" t="inlineStr">
        <x:is>
          <x:t xml:space="preserve">Complete for all raw variables in 2015–2017</x:t>
        </x:is>
      </x:c>
    </x:row>
    <x:row r="13">
      <x:c r="A13" s="11" t="inlineStr">
        <x:is>
          <x:t xml:space="preserve">Democratic Republic of the Congo</x:t>
        </x:is>
      </x:c>
      <x:c r="B13" s="11" t="inlineStr">
        <x:is>
          <x:t xml:space="preserve">刚果（金）</x:t>
        </x:is>
      </x:c>
      <x:c r="C13" s="11" t="inlineStr">
        <x:is>
          <x:t xml:space="preserve">COD</x:t>
        </x:is>
      </x:c>
      <x:c r="D13" s="11" t="inlineStr">
        <x:is>
          <x:t xml:space="preserve">Lagging</x:t>
        </x:is>
      </x:c>
      <x:c r="E13" s="4" t="inlineStr">
        <x:is>
          <x:t xml:space="preserve">Transition-Constrained Archetype</x:t>
        </x:is>
      </x:c>
      <x:c r="F13" s="4" t="inlineStr">
        <x:is>
          <x:t xml:space="preserve">Moderate stability</x:t>
        </x:is>
      </x:c>
      <x:c r="G13" s="11" t="n"/>
      <x:c r="H13" s="12" t="n">
        <x:v>-1.4727107</x:v>
      </x:c>
      <x:c r="I13" s="12" t="n">
        <x:v>-1.3846284</x:v>
      </x:c>
      <x:c r="J13" s="12" t="n">
        <x:v>-1.4588281</x:v>
      </x:c>
      <x:c r="K13" s="12" t="n">
        <x:f>IF(COUNT(H13:J13)=3,AVERAGE(H13:J13),"")</x:f>
        <x:v>-1.4387223999999998</x:v>
      </x:c>
      <x:c r="L13" s="12" t="n">
        <x:v>-2.0107422</x:v>
      </x:c>
      <x:c r="M13" s="12" t="n">
        <x:v>-2.2189353</x:v>
      </x:c>
      <x:c r="N13" s="12" t="n">
        <x:v>-2.2633784</x:v>
      </x:c>
      <x:c r="O13" s="12" t="n">
        <x:f>IF(COUNT(L13:N13)=3,AVERAGE(L13:N13),"")</x:f>
        <x:v>-2.1643519666666666</x:v>
      </x:c>
      <x:c r="P13" s="13" t="n">
        <x:v>40179574490.3032</x:v>
      </x:c>
      <x:c r="Q13" s="13" t="n">
        <x:v>38600224214.47277</x:v>
      </x:c>
      <x:c r="R13" s="13" t="n">
        <x:v>37537521565.53078</x:v>
      </x:c>
      <x:c r="S13" s="13" t="n">
        <x:f>IF(COUNT(P13:R13)=3,AVERAGE(P13:R13),"")</x:f>
        <x:v>38772440090.10225</x:v>
      </x:c>
      <x:c r="T13" s="13" t="n">
        <x:v>495.8266330148833</x:v>
      </x:c>
      <x:c r="U13" s="13" t="n">
        <x:v>459.7650365903876</x:v>
      </x:c>
      <x:c r="V13" s="13" t="n">
        <x:v>431.0525591287881</x:v>
      </x:c>
      <x:c r="W13" s="13" t="n">
        <x:f>IF(COUNT(T13:V13)=3,AVERAGE(T13:V13),"")</x:f>
        <x:v>462.21474291135297</x:v>
      </x:c>
      <x:c r="X13" s="12" t="n">
        <x:v>0.345534121829134</x:v>
      </x:c>
      <x:c r="Y13" s="12" t="n">
        <x:v>0.306678110044986</x:v>
      </x:c>
      <x:c r="Z13" s="12" t="n">
        <x:v>0.659902410781335</x:v>
      </x:c>
      <x:c r="AA13" s="12" t="n">
        <x:f>IF(COUNT(X13:Z13)=3,AVERAGE(X13:Z13),"")</x:f>
        <x:v>0.43737154755181834</x:v>
      </x:c>
      <x:c r="AB13" s="12" t="n">
        <x:v>0.00021856597277561</x:v>
      </x:c>
      <x:c r="AC13" s="12" t="n">
        <x:v>4.59100664006211e-05</x:v>
      </x:c>
      <x:c r="AD13" s="12" t="n">
        <x:v>4.85414901302104e-05</x:v>
      </x:c>
      <x:c r="AE13" s="12" t="n">
        <x:f>IF(COUNT(AB13:AD13)=3,AVERAGE(AB13:AD13),"")</x:f>
        <x:v>0.00010433917643548049</x:v>
      </x:c>
      <x:c r="AF13" s="12" t="n">
        <x:v>0</x:v>
      </x:c>
      <x:c r="AG13" s="12" t="n">
        <x:v>0</x:v>
      </x:c>
      <x:c r="AH13" s="12" t="n">
        <x:v>0</x:v>
      </x:c>
      <x:c r="AI13" s="12" t="n">
        <x:f>IF(COUNT(AF13:AH13)=3,AVERAGE(AF13:AH13),"")</x:f>
        <x:v>0</x:v>
      </x:c>
      <x:c r="AJ13" s="12" t="n">
        <x:f>IF(COUNT(X13,AB13,AF13)=3,SUM(X13,AB13,AF13),"")</x:f>
        <x:v>0.3457526878019096</x:v>
      </x:c>
      <x:c r="AK13" s="12" t="n">
        <x:f>IF(COUNT(Y13,AC13,AG13)=3,SUM(Y13,AC13,AG13),"")</x:f>
        <x:v>0.30672402011138666</x:v>
      </x:c>
      <x:c r="AL13" s="12" t="n">
        <x:f>IF(COUNT(Z13,AD13,AH13)=3,SUM(Z13,AD13,AH13),"")</x:f>
        <x:v>0.6599509522714653</x:v>
      </x:c>
      <x:c r="AM13" s="12" t="n">
        <x:f>IF(COUNT(AJ13:AL13)=3,AVERAGE(AJ13:AL13),"")</x:f>
        <x:v>0.4374758867282538</x:v>
      </x:c>
      <x:c r="AN13" s="11" t="n">
        <x:v>0</x:v>
      </x:c>
      <x:c r="AO13" s="11" t="n">
        <x:v>0</x:v>
      </x:c>
      <x:c r="AP13" s="11" t="n">
        <x:v>0</x:v>
      </x:c>
      <x:c r="AQ13" s="11" t="n">
        <x:v>0</x:v>
      </x:c>
      <x:c r="AR13" s="11" t="n">
        <x:v>0</x:v>
      </x:c>
      <x:c r="AS13" s="11" t="n">
        <x:v>0</x:v>
      </x:c>
      <x:c r="AT13" s="11" t="n">
        <x:v>0</x:v>
      </x:c>
      <x:c r="AU13" s="11" t="n">
        <x:v>0</x:v>
      </x:c>
      <x:c r="AV13" s="4" t="inlineStr">
        <x:is>
          <x:t xml:space="preserve"/>
        </x:is>
      </x:c>
      <x:c r="AW13" s="4" t="inlineStr">
        <x:is>
          <x:t xml:space="preserve">Complete for all raw variables in 2015–2017</x:t>
        </x:is>
      </x:c>
    </x:row>
    <x:row r="14">
      <x:c r="A14" s="11" t="inlineStr">
        <x:is>
          <x:t xml:space="preserve">Republic of the Congo</x:t>
        </x:is>
      </x:c>
      <x:c r="B14" s="11" t="inlineStr">
        <x:is>
          <x:t xml:space="preserve">刚果（布）</x:t>
        </x:is>
      </x:c>
      <x:c r="C14" s="11" t="inlineStr">
        <x:is>
          <x:t xml:space="preserve">COG</x:t>
        </x:is>
      </x:c>
      <x:c r="D14" s="11" t="inlineStr">
        <x:is>
          <x:t xml:space="preserve">Lagging</x:t>
        </x:is>
      </x:c>
      <x:c r="E14" s="4" t="inlineStr">
        <x:is>
          <x:t xml:space="preserve">Transition-Constrained Archetype</x:t>
        </x:is>
      </x:c>
      <x:c r="F14" s="4" t="inlineStr">
        <x:is>
          <x:t xml:space="preserve">High stability</x:t>
        </x:is>
      </x:c>
      <x:c r="G14" s="11" t="n"/>
      <x:c r="H14" s="12" t="n">
        <x:v>-0.8351826999999999</x:v>
      </x:c>
      <x:c r="I14" s="12" t="n">
        <x:v>-0.8123243</x:v>
      </x:c>
      <x:c r="J14" s="12" t="n">
        <x:v>-0.8685556</x:v>
      </x:c>
      <x:c r="K14" s="12" t="n">
        <x:f>IF(COUNT(H14:J14)=3,AVERAGE(H14:J14),"")</x:f>
        <x:v>-0.8386875333333333</x:v>
      </x:c>
      <x:c r="L14" s="12" t="n">
        <x:v>-0.7582165</x:v>
      </x:c>
      <x:c r="M14" s="12" t="n">
        <x:v>-0.760806</x:v>
      </x:c>
      <x:c r="N14" s="12" t="n">
        <x:v>-0.7695685</x:v>
      </x:c>
      <x:c r="O14" s="12" t="n">
        <x:f>IF(COUNT(L14:N14)=3,AVERAGE(L14:N14),"")</x:f>
        <x:v>-0.7628636666666666</x:v>
      </x:c>
      <x:c r="P14" s="13" t="n">
        <x:v>12434793867.3568</x:v>
      </x:c>
      <x:c r="Q14" s="13" t="n">
        <x:v>10931328150.84785</x:v>
      </x:c>
      <x:c r="R14" s="13" t="n">
        <x:v>11834473039.36448</x:v>
      </x:c>
      <x:c r="S14" s="13" t="n">
        <x:f>IF(COUNT(P14:R14)=3,AVERAGE(P14:R14),"")</x:f>
        <x:v>11733531685.856377</x:v>
      </x:c>
      <x:c r="T14" s="13" t="n">
        <x:v>2439.351894036956</x:v>
      </x:c>
      <x:c r="U14" s="13" t="n">
        <x:v>2093.107285588428</x:v>
      </x:c>
      <x:c r="V14" s="13" t="n">
        <x:v>2211.633098747971</x:v>
      </x:c>
      <x:c r="W14" s="13" t="n">
        <x:f>IF(COUNT(T14:V14)=3,AVERAGE(T14:V14),"")</x:f>
        <x:v>2248.030759457785</x:v>
      </x:c>
      <x:c r="X14" s="12" t="n">
        <x:v>12.2746700668843</x:v>
      </x:c>
      <x:c r="Y14" s="12" t="n">
        <x:v>12.8004971968497</x:v>
      </x:c>
      <x:c r="Z14" s="12" t="n">
        <x:v>25.0227768251894</x:v>
      </x:c>
      <x:c r="AA14" s="12" t="n">
        <x:f>IF(COUNT(X14:Z14)=3,AVERAGE(X14:Z14),"")</x:f>
        <x:v>16.6993146963078</x:v>
      </x:c>
      <x:c r="AB14" s="12" t="n">
        <x:v>0.529950921594635</x:v>
      </x:c>
      <x:c r="AC14" s="12" t="n">
        <x:v>0.388986974310453</x:v>
      </x:c>
      <x:c r="AD14" s="12" t="n">
        <x:v>0.435295524625467</x:v>
      </x:c>
      <x:c r="AE14" s="12" t="n">
        <x:f>IF(COUNT(AB14:AD14)=3,AVERAGE(AB14:AD14),"")</x:f>
        <x:v>0.4514111401768517</x:v>
      </x:c>
      <x:c r="AF14" s="12" t="n">
        <x:v>0</x:v>
      </x:c>
      <x:c r="AG14" s="12" t="n">
        <x:v>0</x:v>
      </x:c>
      <x:c r="AH14" s="12" t="n">
        <x:v>0</x:v>
      </x:c>
      <x:c r="AI14" s="12" t="n">
        <x:f>IF(COUNT(AF14:AH14)=3,AVERAGE(AF14:AH14),"")</x:f>
        <x:v>0</x:v>
      </x:c>
      <x:c r="AJ14" s="12" t="n">
        <x:f>IF(COUNT(X14,AB14,AF14)=3,SUM(X14,AB14,AF14),"")</x:f>
        <x:v>12.804620988478934</x:v>
      </x:c>
      <x:c r="AK14" s="12" t="n">
        <x:f>IF(COUNT(Y14,AC14,AG14)=3,SUM(Y14,AC14,AG14),"")</x:f>
        <x:v>13.189484171160153</x:v>
      </x:c>
      <x:c r="AL14" s="12" t="n">
        <x:f>IF(COUNT(Z14,AD14,AH14)=3,SUM(Z14,AD14,AH14),"")</x:f>
        <x:v>25.458072349814866</x:v>
      </x:c>
      <x:c r="AM14" s="12" t="n">
        <x:f>IF(COUNT(AJ14:AL14)=3,AVERAGE(AJ14:AL14),"")</x:f>
        <x:v>17.15072583648465</x:v>
      </x:c>
      <x:c r="AN14" s="11" t="n">
        <x:v>0</x:v>
      </x:c>
      <x:c r="AO14" s="11" t="n">
        <x:v>0</x:v>
      </x:c>
      <x:c r="AP14" s="11" t="n">
        <x:v>0</x:v>
      </x:c>
      <x:c r="AQ14" s="11" t="n">
        <x:v>0</x:v>
      </x:c>
      <x:c r="AR14" s="11" t="n">
        <x:v>0</x:v>
      </x:c>
      <x:c r="AS14" s="11" t="n">
        <x:v>0</x:v>
      </x:c>
      <x:c r="AT14" s="11" t="n">
        <x:v>0</x:v>
      </x:c>
      <x:c r="AU14" s="11" t="n">
        <x:v>0</x:v>
      </x:c>
      <x:c r="AV14" s="4" t="inlineStr">
        <x:is>
          <x:t xml:space="preserve"/>
        </x:is>
      </x:c>
      <x:c r="AW14" s="4" t="inlineStr">
        <x:is>
          <x:t xml:space="preserve">Complete for all raw variables in 2015–2017</x:t>
        </x:is>
      </x:c>
    </x:row>
    <x:row r="15">
      <x:c r="A15" s="11" t="inlineStr">
        <x:is>
          <x:t xml:space="preserve">Côte d'Ivoire</x:t>
        </x:is>
      </x:c>
      <x:c r="B15" s="11" t="inlineStr">
        <x:is>
          <x:t xml:space="preserve">科特迪瓦</x:t>
        </x:is>
      </x:c>
      <x:c r="C15" s="11" t="inlineStr">
        <x:is>
          <x:t xml:space="preserve">CIV</x:t>
        </x:is>
      </x:c>
      <x:c r="D15" s="11" t="inlineStr">
        <x:is>
          <x:t xml:space="preserve">Balancing</x:t>
        </x:is>
      </x:c>
      <x:c r="E15" s="4" t="inlineStr">
        <x:is>
          <x:t xml:space="preserve">System-Deepening Archetype</x:t>
        </x:is>
      </x:c>
      <x:c r="F15" s="4" t="inlineStr">
        <x:is>
          <x:t xml:space="preserve">High stability</x:t>
        </x:is>
      </x:c>
      <x:c r="G15" s="11" t="n"/>
      <x:c r="H15" s="12" t="n">
        <x:v>-0.5999603999999999</x:v>
      </x:c>
      <x:c r="I15" s="12" t="n">
        <x:v>-0.6103531999999999</x:v>
      </x:c>
      <x:c r="J15" s="12" t="n">
        <x:v>-0.5958625</x:v>
      </x:c>
      <x:c r="K15" s="12" t="n">
        <x:f>IF(COUNT(H15:J15)=3,AVERAGE(H15:J15),"")</x:f>
        <x:v>-0.6020587</x:v>
      </x:c>
      <x:c r="L15" s="12" t="n">
        <x:v>-0.7838544</x:v>
      </x:c>
      <x:c r="M15" s="12" t="n">
        <x:v>-0.8652379</x:v>
      </x:c>
      <x:c r="N15" s="12" t="n">
        <x:v>-1.0411412</x:v>
      </x:c>
      <x:c r="O15" s="12" t="n">
        <x:f>IF(COUNT(L15:N15)=3,AVERAGE(L15:N15),"")</x:f>
        <x:v>-0.8967444999999999</x:v>
      </x:c>
      <x:c r="P15" s="13" t="n">
        <x:v>45815005169.26511</x:v>
      </x:c>
      <x:c r="Q15" s="13" t="n">
        <x:v>48407761036.82379</x:v>
      </x:c>
      <x:c r="R15" s="13" t="n">
        <x:v>52512343996.68996</x:v>
      </x:c>
      <x:c r="S15" s="13" t="n">
        <x:f>IF(COUNT(P15:R15)=3,AVERAGE(P15:R15),"")</x:f>
        <x:v>48911703400.92629</x:v>
      </x:c>
      <x:c r="T15" s="13" t="n">
        <x:v>1814.718550880167</x:v>
      </x:c>
      <x:c r="U15" s="13" t="n">
        <x:v>1862.595970812868</x:v>
      </x:c>
      <x:c r="V15" s="13" t="n">
        <x:v>1964.299303383425</x:v>
      </x:c>
      <x:c r="W15" s="13" t="n">
        <x:f>IF(COUNT(T15:V15)=3,AVERAGE(T15:V15),"")</x:f>
        <x:v>1880.5379416921533</x:v>
      </x:c>
      <x:c r="X15" s="12" t="n">
        <x:v>0.366602851194199</x:v>
      </x:c>
      <x:c r="Y15" s="12" t="n">
        <x:v>0.384370728252087</x:v>
      </x:c>
      <x:c r="Z15" s="12" t="n">
        <x:v>0.811412807702894</x:v>
      </x:c>
      <x:c r="AA15" s="12" t="n">
        <x:f>IF(COUNT(X15:Z15)=3,AVERAGE(X15:Z15),"")</x:f>
        <x:v>0.52079546238306</x:v>
      </x:c>
      <x:c r="AB15" s="12" t="n">
        <x:v>0.261322774444977</x:v>
      </x:c>
      <x:c r="AC15" s="12" t="n">
        <x:v>0.178681873738581</x:v>
      </x:c>
      <x:c r="AD15" s="12" t="n">
        <x:v>0.186969561218541</x:v>
      </x:c>
      <x:c r="AE15" s="12" t="n">
        <x:f>IF(COUNT(AB15:AD15)=3,AVERAGE(AB15:AD15),"")</x:f>
        <x:v>0.208991403134033</x:v>
      </x:c>
      <x:c r="AF15" s="12" t="n">
        <x:v>0</x:v>
      </x:c>
      <x:c r="AG15" s="12" t="n">
        <x:v>0</x:v>
      </x:c>
      <x:c r="AH15" s="12" t="n">
        <x:v>0</x:v>
      </x:c>
      <x:c r="AI15" s="12" t="n">
        <x:f>IF(COUNT(AF15:AH15)=3,AVERAGE(AF15:AH15),"")</x:f>
        <x:v>0</x:v>
      </x:c>
      <x:c r="AJ15" s="12" t="n">
        <x:f>IF(COUNT(X15,AB15,AF15)=3,SUM(X15,AB15,AF15),"")</x:f>
        <x:v>0.627925625639176</x:v>
      </x:c>
      <x:c r="AK15" s="12" t="n">
        <x:f>IF(COUNT(Y15,AC15,AG15)=3,SUM(Y15,AC15,AG15),"")</x:f>
        <x:v>0.563052601990668</x:v>
      </x:c>
      <x:c r="AL15" s="12" t="n">
        <x:f>IF(COUNT(Z15,AD15,AH15)=3,SUM(Z15,AD15,AH15),"")</x:f>
        <x:v>0.9983823689214351</x:v>
      </x:c>
      <x:c r="AM15" s="12" t="n">
        <x:f>IF(COUNT(AJ15:AL15)=3,AVERAGE(AJ15:AL15),"")</x:f>
        <x:v>0.729786865517093</x:v>
      </x:c>
      <x:c r="AN15" s="11" t="n">
        <x:v>0</x:v>
      </x:c>
      <x:c r="AO15" s="11" t="n">
        <x:v>0</x:v>
      </x:c>
      <x:c r="AP15" s="11" t="n">
        <x:v>0</x:v>
      </x:c>
      <x:c r="AQ15" s="11" t="n">
        <x:v>0</x:v>
      </x:c>
      <x:c r="AR15" s="11" t="n">
        <x:v>0</x:v>
      </x:c>
      <x:c r="AS15" s="11" t="n">
        <x:v>0</x:v>
      </x:c>
      <x:c r="AT15" s="11" t="n">
        <x:v>0</x:v>
      </x:c>
      <x:c r="AU15" s="11" t="n">
        <x:v>0</x:v>
      </x:c>
      <x:c r="AV15" s="4" t="inlineStr">
        <x:is>
          <x:t xml:space="preserve"/>
        </x:is>
      </x:c>
      <x:c r="AW15" s="4" t="inlineStr">
        <x:is>
          <x:t xml:space="preserve">Complete for all raw variables in 2015–2017</x:t>
        </x:is>
      </x:c>
    </x:row>
    <x:row r="16">
      <x:c r="A16" s="11" t="inlineStr">
        <x:is>
          <x:t xml:space="preserve">Djibouti</x:t>
        </x:is>
      </x:c>
      <x:c r="B16" s="11" t="inlineStr">
        <x:is>
          <x:t xml:space="preserve">吉布提</x:t>
        </x:is>
      </x:c>
      <x:c r="C16" s="11" t="inlineStr">
        <x:is>
          <x:t xml:space="preserve">DJI</x:t>
        </x:is>
      </x:c>
      <x:c r="D16" s="11" t="inlineStr">
        <x:is>
          <x:t xml:space="preserve">Balancing</x:t>
        </x:is>
      </x:c>
      <x:c r="E16" s="4" t="inlineStr">
        <x:is>
          <x:t xml:space="preserve">System-Deepening Archetype</x:t>
        </x:is>
      </x:c>
      <x:c r="F16" s="4" t="inlineStr">
        <x:is>
          <x:t xml:space="preserve">High stability</x:t>
        </x:is>
      </x:c>
      <x:c r="G16" s="11" t="n"/>
      <x:c r="H16" s="12" t="n">
        <x:v>-0.7524265999999999</x:v>
      </x:c>
      <x:c r="I16" s="12" t="n">
        <x:v>-0.7128753999999999</x:v>
      </x:c>
      <x:c r="J16" s="12" t="n">
        <x:v>-0.7792344999999999</x:v>
      </x:c>
      <x:c r="K16" s="12" t="n">
        <x:f>IF(COUNT(H16:J16)=3,AVERAGE(H16:J16),"")</x:f>
        <x:v>-0.7481788333333332</x:v>
      </x:c>
      <x:c r="L16" s="12" t="n">
        <x:v>-0.4931801</x:v>
      </x:c>
      <x:c r="M16" s="12" t="n">
        <x:v>-0.7074408</x:v>
      </x:c>
      <x:c r="N16" s="12" t="n">
        <x:v>-0.7552217</x:v>
      </x:c>
      <x:c r="O16" s="12" t="n">
        <x:f>IF(COUNT(L16:N16)=3,AVERAGE(L16:N16),"")</x:f>
        <x:v>-0.6519475333333333</x:v>
      </x:c>
      <x:c r="P16" s="13" t="n">
        <x:v>2424391785.438974</x:v>
      </x:c>
      <x:c r="Q16" s="13" t="n">
        <x:v>2604955228.701166</x:v>
      </x:c>
      <x:c r="R16" s="13" t="n">
        <x:v>2762581334.226119</x:v>
      </x:c>
      <x:c r="S16" s="13" t="n">
        <x:f>IF(COUNT(P16:R16)=3,AVERAGE(P16:R16),"")</x:f>
        <x:v>2597309449.45542</x:v>
      </x:c>
      <x:c r="T16" s="13" t="n">
        <x:v>2376.125547198727</x:v>
      </x:c>
      <x:c r="U16" s="13" t="n">
        <x:v>2510.430007624096</x:v>
      </x:c>
      <x:c r="V16" s="13" t="n">
        <x:v>2618.95521147369</x:v>
      </x:c>
      <x:c r="W16" s="13" t="n">
        <x:f>IF(COUNT(T16:V16)=3,AVERAGE(T16:V16),"")</x:f>
        <x:v>2501.8369220988375</x:v>
      </x:c>
      <x:c r="X16" s="12" t="n">
        <x:v>0</x:v>
      </x:c>
      <x:c r="Y16" s="12" t="n">
        <x:v>0</x:v>
      </x:c>
      <x:c r="Z16" s="12" t="n">
        <x:v>0</x:v>
      </x:c>
      <x:c r="AA16" s="12" t="n">
        <x:f>IF(COUNT(X16:Z16)=3,AVERAGE(X16:Z16),"")</x:f>
        <x:v>0</x:v>
      </x:c>
      <x:c r="AB16" s="12" t="n">
        <x:v>0</x:v>
      </x:c>
      <x:c r="AC16" s="12" t="n">
        <x:v>0</x:v>
      </x:c>
      <x:c r="AD16" s="12" t="n">
        <x:v>0</x:v>
      </x:c>
      <x:c r="AE16" s="12" t="n">
        <x:f>IF(COUNT(AB16:AD16)=3,AVERAGE(AB16:AD16),"")</x:f>
        <x:v>0</x:v>
      </x:c>
      <x:c r="AF16" s="12" t="n">
        <x:v>0</x:v>
      </x:c>
      <x:c r="AG16" s="12" t="n">
        <x:v>0</x:v>
      </x:c>
      <x:c r="AH16" s="12" t="n">
        <x:v>0</x:v>
      </x:c>
      <x:c r="AI16" s="12" t="n">
        <x:f>IF(COUNT(AF16:AH16)=3,AVERAGE(AF16:AH16),"")</x:f>
        <x:v>0</x:v>
      </x:c>
      <x:c r="AJ16" s="12" t="n">
        <x:f>IF(COUNT(X16,AB16,AF16)=3,SUM(X16,AB16,AF16),"")</x:f>
        <x:v>0</x:v>
      </x:c>
      <x:c r="AK16" s="12" t="n">
        <x:f>IF(COUNT(Y16,AC16,AG16)=3,SUM(Y16,AC16,AG16),"")</x:f>
        <x:v>0</x:v>
      </x:c>
      <x:c r="AL16" s="12" t="n">
        <x:f>IF(COUNT(Z16,AD16,AH16)=3,SUM(Z16,AD16,AH16),"")</x:f>
        <x:v>0</x:v>
      </x:c>
      <x:c r="AM16" s="12" t="n">
        <x:f>IF(COUNT(AJ16:AL16)=3,AVERAGE(AJ16:AL16),"")</x:f>
        <x:v>0</x:v>
      </x:c>
      <x:c r="AN16" s="11" t="n">
        <x:v>0</x:v>
      </x:c>
      <x:c r="AO16" s="11" t="n">
        <x:v>0</x:v>
      </x:c>
      <x:c r="AP16" s="11" t="n">
        <x:v>0</x:v>
      </x:c>
      <x:c r="AQ16" s="11" t="n">
        <x:v>0</x:v>
      </x:c>
      <x:c r="AR16" s="11" t="n">
        <x:v>0</x:v>
      </x:c>
      <x:c r="AS16" s="11" t="n">
        <x:v>0</x:v>
      </x:c>
      <x:c r="AT16" s="11" t="n">
        <x:v>0</x:v>
      </x:c>
      <x:c r="AU16" s="11" t="n">
        <x:v>0</x:v>
      </x:c>
      <x:c r="AV16" s="4" t="inlineStr">
        <x:is>
          <x:t xml:space="preserve"/>
        </x:is>
      </x:c>
      <x:c r="AW16" s="4" t="inlineStr">
        <x:is>
          <x:t xml:space="preserve">Complete for all raw variables in 2015–2017</x:t>
        </x:is>
      </x:c>
    </x:row>
    <x:row r="17">
      <x:c r="A17" s="11" t="inlineStr">
        <x:is>
          <x:t xml:space="preserve">Egypt</x:t>
        </x:is>
      </x:c>
      <x:c r="B17" s="11" t="inlineStr">
        <x:is>
          <x:t xml:space="preserve">埃及</x:t>
        </x:is>
      </x:c>
      <x:c r="C17" s="11" t="inlineStr">
        <x:is>
          <x:t xml:space="preserve">EGY</x:t>
        </x:is>
      </x:c>
      <x:c r="D17" s="11" t="inlineStr">
        <x:is>
          <x:t xml:space="preserve">Leading</x:t>
        </x:is>
      </x:c>
      <x:c r="E17" s="4" t="inlineStr">
        <x:is>
          <x:t xml:space="preserve">Scale-and-Momentum Leadership Archetype</x:t>
        </x:is>
      </x:c>
      <x:c r="F17" s="4" t="inlineStr">
        <x:is>
          <x:t xml:space="preserve">High stability</x:t>
        </x:is>
      </x:c>
      <x:c r="G17" s="11" t="n"/>
      <x:c r="H17" s="12" t="n">
        <x:v>-0.5216722</x:v>
      </x:c>
      <x:c r="I17" s="12" t="n">
        <x:v>-0.4409504</x:v>
      </x:c>
      <x:c r="J17" s="12" t="n">
        <x:v>-0.4068952</x:v>
      </x:c>
      <x:c r="K17" s="12" t="n">
        <x:f>IF(COUNT(H17:J17)=3,AVERAGE(H17:J17),"")</x:f>
        <x:v>-0.4565059333333334</x:v>
      </x:c>
      <x:c r="L17" s="12" t="n">
        <x:v>-1.5178167</x:v>
      </x:c>
      <x:c r="M17" s="12" t="n">
        <x:v>-1.5399732</x:v>
      </x:c>
      <x:c r="N17" s="12" t="n">
        <x:v>-1.4711477</x:v>
      </x:c>
      <x:c r="O17" s="12" t="n">
        <x:f>IF(COUNT(L17:N17)=3,AVERAGE(L17:N17),"")</x:f>
        <x:v>-1.5096458666666666</x:v>
      </x:c>
      <x:c r="P17" s="13" t="n">
        <x:v>329366576819.407</x:v>
      </x:c>
      <x:c r="Q17" s="13" t="n">
        <x:v>332441717791.411</x:v>
      </x:c>
      <x:c r="R17" s="13" t="n">
        <x:v>248362771739.1304</x:v>
      </x:c>
      <x:c r="S17" s="13" t="n">
        <x:f>IF(COUNT(P17:R17)=3,AVERAGE(P17:R17),"")</x:f>
        <x:v>303390355449.9828</x:v>
      </x:c>
      <x:c r="T17" s="13" t="n">
        <x:v>3306.981594141408</x:v>
      </x:c>
      <x:c r="U17" s="13" t="n">
        <x:v>3270.628776819699</x:v>
      </x:c>
      <x:c r="V17" s="13" t="n">
        <x:v>2395.103332994913</x:v>
      </x:c>
      <x:c r="W17" s="13" t="n">
        <x:f>IF(COUNT(T17:V17)=3,AVERAGE(T17:V17),"")</x:f>
        <x:v>2990.9045679853402</x:v>
      </x:c>
      <x:c r="X17" s="12" t="n">
        <x:v>3.05526433674059</x:v>
      </x:c>
      <x:c r="Y17" s="12" t="n">
        <x:v>2.35006516963224</x:v>
      </x:c>
      <x:c r="Z17" s="12" t="n">
        <x:v>4.12683269397819</x:v>
      </x:c>
      <x:c r="AA17" s="12" t="n">
        <x:f>IF(COUNT(X17:Z17)=3,AVERAGE(X17:Z17),"")</x:f>
        <x:v>3.177387400117007</x:v>
      </x:c>
      <x:c r="AB17" s="12" t="n">
        <x:v>0.717587471392014</x:v>
      </x:c>
      <x:c r="AC17" s="12" t="n">
        <x:v>0.506687001503198</x:v>
      </x:c>
      <x:c r="AD17" s="12" t="n">
        <x:v>1.04828310066825</x:v>
      </x:c>
      <x:c r="AE17" s="12" t="n">
        <x:f>IF(COUNT(AB17:AD17)=3,AVERAGE(AB17:AD17),"")</x:f>
        <x:v>0.7575191911878206</x:v>
      </x:c>
      <x:c r="AF17" s="12" t="n">
        <x:v>0</x:v>
      </x:c>
      <x:c r="AG17" s="12" t="n">
        <x:v>0</x:v>
      </x:c>
      <x:c r="AH17" s="12" t="n">
        <x:v>0</x:v>
      </x:c>
      <x:c r="AI17" s="12" t="n">
        <x:f>IF(COUNT(AF17:AH17)=3,AVERAGE(AF17:AH17),"")</x:f>
        <x:v>0</x:v>
      </x:c>
      <x:c r="AJ17" s="12" t="n">
        <x:f>IF(COUNT(X17,AB17,AF17)=3,SUM(X17,AB17,AF17),"")</x:f>
        <x:v>3.7728518081326037</x:v>
      </x:c>
      <x:c r="AK17" s="12" t="n">
        <x:f>IF(COUNT(Y17,AC17,AG17)=3,SUM(Y17,AC17,AG17),"")</x:f>
        <x:v>2.856752171135438</x:v>
      </x:c>
      <x:c r="AL17" s="12" t="n">
        <x:f>IF(COUNT(Z17,AD17,AH17)=3,SUM(Z17,AD17,AH17),"")</x:f>
        <x:v>5.17511579464644</x:v>
      </x:c>
      <x:c r="AM17" s="12" t="n">
        <x:f>IF(COUNT(AJ17:AL17)=3,AVERAGE(AJ17:AL17),"")</x:f>
        <x:v>3.934906591304827</x:v>
      </x:c>
      <x:c r="AN17" s="11" t="n">
        <x:v>0</x:v>
      </x:c>
      <x:c r="AO17" s="11" t="n">
        <x:v>0</x:v>
      </x:c>
      <x:c r="AP17" s="11" t="n">
        <x:v>0</x:v>
      </x:c>
      <x:c r="AQ17" s="11" t="n">
        <x:v>0</x:v>
      </x:c>
      <x:c r="AR17" s="11" t="n">
        <x:v>0</x:v>
      </x:c>
      <x:c r="AS17" s="11" t="n">
        <x:v>0</x:v>
      </x:c>
      <x:c r="AT17" s="11" t="n">
        <x:v>0</x:v>
      </x:c>
      <x:c r="AU17" s="11" t="n">
        <x:v>0</x:v>
      </x:c>
      <x:c r="AV17" s="4" t="inlineStr">
        <x:is>
          <x:t xml:space="preserve"/>
        </x:is>
      </x:c>
      <x:c r="AW17" s="4" t="inlineStr">
        <x:is>
          <x:t xml:space="preserve">Complete for all raw variables in 2015–2017</x:t>
        </x:is>
      </x:c>
    </x:row>
    <x:row r="18">
      <x:c r="A18" s="11" t="inlineStr">
        <x:is>
          <x:t xml:space="preserve">Equatorial Guinea</x:t>
        </x:is>
      </x:c>
      <x:c r="B18" s="11" t="inlineStr">
        <x:is>
          <x:t xml:space="preserve">赤道几内亚</x:t>
        </x:is>
      </x:c>
      <x:c r="C18" s="11" t="inlineStr">
        <x:is>
          <x:t xml:space="preserve">GNQ</x:t>
        </x:is>
      </x:c>
      <x:c r="D18" s="11" t="inlineStr">
        <x:is>
          <x:t xml:space="preserve">Lagging</x:t>
        </x:is>
      </x:c>
      <x:c r="E18" s="4" t="inlineStr">
        <x:is>
          <x:t xml:space="preserve">Transition-Constrained Archetype</x:t>
        </x:is>
      </x:c>
      <x:c r="F18" s="4" t="inlineStr">
        <x:is>
          <x:t xml:space="preserve">High stability</x:t>
        </x:is>
      </x:c>
      <x:c r="G18" s="11" t="n"/>
      <x:c r="H18" s="12" t="n">
        <x:v>-0.9975417999999999</x:v>
      </x:c>
      <x:c r="I18" s="12" t="n">
        <x:v>-0.9739751999999999</x:v>
      </x:c>
      <x:c r="J18" s="12" t="n">
        <x:v>-1.0052134</x:v>
      </x:c>
      <x:c r="K18" s="12" t="n">
        <x:f>IF(COUNT(H18:J18)=3,AVERAGE(H18:J18),"")</x:f>
        <x:v>-0.9922434666666667</x:v>
      </x:c>
      <x:c r="L18" s="12" t="n">
        <x:v>-0.5106020999999999</x:v>
      </x:c>
      <x:c r="M18" s="12" t="n">
        <x:v>-0.4049977</x:v>
      </x:c>
      <x:c r="N18" s="12" t="n">
        <x:v>-0.3950453</x:v>
      </x:c>
      <x:c r="O18" s="12" t="n">
        <x:f>IF(COUNT(L18:N18)=3,AVERAGE(L18:N18),"")</x:f>
        <x:v>-0.4368817</x:v>
      </x:c>
      <x:c r="P18" s="13" t="n">
        <x:v>13185496881.0174</x:v>
      </x:c>
      <x:c r="Q18" s="13" t="n">
        <x:v>11240808847.88782</x:v>
      </x:c>
      <x:c r="R18" s="13" t="n">
        <x:v>12200913878.98272</x:v>
      </x:c>
      <x:c r="S18" s="13" t="n">
        <x:f>IF(COUNT(P18:R18)=3,AVERAGE(P18:R18),"")</x:f>
        <x:v>12209073202.629313</x:v>
      </x:c>
      <x:c r="T18" s="13" t="n">
        <x:v>9068.910032386446</x:v>
      </x:c>
      <x:c r="U18" s="13" t="n">
        <x:v>7453.197979485167</x:v>
      </x:c>
      <x:c r="V18" s="13" t="n">
        <x:v>7809.104656554882</x:v>
      </x:c>
      <x:c r="W18" s="13" t="n">
        <x:f>IF(COUNT(T18:V18)=3,AVERAGE(T18:V18),"")</x:f>
        <x:v>8110.404222808832</x:v>
      </x:c>
      <x:c r="X18" s="12" t="n">
        <x:v>12.576041460388</x:v>
      </x:c>
      <x:c r="Y18" s="12" t="n">
        <x:v>11.7086428410267</x:v>
      </x:c>
      <x:c r="Z18" s="12" t="n">
        <x:v>16.1366726241749</x:v>
      </x:c>
      <x:c r="AA18" s="12" t="n">
        <x:f>IF(COUNT(X18:Z18)=3,AVERAGE(X18:Z18),"")</x:f>
        <x:v>13.4737856418632</x:v>
      </x:c>
      <x:c r="AB18" s="12" t="n">
        <x:v>3.96755999067266</x:v>
      </x:c>
      <x:c r="AC18" s="12" t="n">
        <x:v>3.3292341665039</x:v>
      </x:c>
      <x:c r="AD18" s="12" t="n">
        <x:v>3.92567796997632</x:v>
      </x:c>
      <x:c r="AE18" s="12" t="n">
        <x:f>IF(COUNT(AB18:AD18)=3,AVERAGE(AB18:AD18),"")</x:f>
        <x:v>3.7408240423842933</x:v>
      </x:c>
      <x:c r="AF18" s="12" t="n">
        <x:v>0</x:v>
      </x:c>
      <x:c r="AG18" s="12" t="n">
        <x:v>0</x:v>
      </x:c>
      <x:c r="AH18" s="12" t="n">
        <x:v>0</x:v>
      </x:c>
      <x:c r="AI18" s="12" t="n">
        <x:f>IF(COUNT(AF18:AH18)=3,AVERAGE(AF18:AH18),"")</x:f>
        <x:v>0</x:v>
      </x:c>
      <x:c r="AJ18" s="12" t="n">
        <x:f>IF(COUNT(X18,AB18,AF18)=3,SUM(X18,AB18,AF18),"")</x:f>
        <x:v>16.54360145106066</x:v>
      </x:c>
      <x:c r="AK18" s="12" t="n">
        <x:f>IF(COUNT(Y18,AC18,AG18)=3,SUM(Y18,AC18,AG18),"")</x:f>
        <x:v>15.0378770075306</x:v>
      </x:c>
      <x:c r="AL18" s="12" t="n">
        <x:f>IF(COUNT(Z18,AD18,AH18)=3,SUM(Z18,AD18,AH18),"")</x:f>
        <x:v>20.06235059415122</x:v>
      </x:c>
      <x:c r="AM18" s="12" t="n">
        <x:f>IF(COUNT(AJ18:AL18)=3,AVERAGE(AJ18:AL18),"")</x:f>
        <x:v>17.214609684247492</x:v>
      </x:c>
      <x:c r="AN18" s="11" t="n">
        <x:v>0</x:v>
      </x:c>
      <x:c r="AO18" s="11" t="n">
        <x:v>0</x:v>
      </x:c>
      <x:c r="AP18" s="11" t="n">
        <x:v>0</x:v>
      </x:c>
      <x:c r="AQ18" s="11" t="n">
        <x:v>0</x:v>
      </x:c>
      <x:c r="AR18" s="11" t="n">
        <x:v>0</x:v>
      </x:c>
      <x:c r="AS18" s="11" t="n">
        <x:v>0</x:v>
      </x:c>
      <x:c r="AT18" s="11" t="n">
        <x:v>0</x:v>
      </x:c>
      <x:c r="AU18" s="11" t="n">
        <x:v>0</x:v>
      </x:c>
      <x:c r="AV18" s="4" t="inlineStr">
        <x:is>
          <x:t xml:space="preserve"/>
        </x:is>
      </x:c>
      <x:c r="AW18" s="4" t="inlineStr">
        <x:is>
          <x:t xml:space="preserve">Complete for all raw variables in 2015–2017</x:t>
        </x:is>
      </x:c>
    </x:row>
    <x:row r="19">
      <x:c r="A19" s="11" t="inlineStr">
        <x:is>
          <x:t xml:space="preserve">Eritrea</x:t>
        </x:is>
      </x:c>
      <x:c r="B19" s="11" t="inlineStr">
        <x:is>
          <x:t xml:space="preserve">厄立特里亚</x:t>
        </x:is>
      </x:c>
      <x:c r="C19" s="11" t="inlineStr">
        <x:is>
          <x:t xml:space="preserve">ERI</x:t>
        </x:is>
      </x:c>
      <x:c r="D19" s="11" t="inlineStr">
        <x:is>
          <x:t xml:space="preserve">Lagging</x:t>
        </x:is>
      </x:c>
      <x:c r="E19" s="4" t="inlineStr">
        <x:is>
          <x:t xml:space="preserve">Transition-Constrained Archetype</x:t>
        </x:is>
      </x:c>
      <x:c r="F19" s="4" t="inlineStr">
        <x:is>
          <x:t xml:space="preserve">High stability</x:t>
        </x:is>
      </x:c>
      <x:c r="G19" s="11" t="n"/>
      <x:c r="H19" s="12" t="n">
        <x:v>-1.2742181</x:v>
      </x:c>
      <x:c r="I19" s="12" t="n">
        <x:v>-1.2669749</x:v>
      </x:c>
      <x:c r="J19" s="12" t="n">
        <x:v>-1.2739169</x:v>
      </x:c>
      <x:c r="K19" s="12" t="n">
        <x:f>IF(COUNT(H19:J19)=3,AVERAGE(H19:J19),"")</x:f>
        <x:v>-1.2717032999999998</x:v>
      </x:c>
      <x:c r="L19" s="12" t="n">
        <x:v>-0.7893504</x:v>
      </x:c>
      <x:c r="M19" s="12" t="n">
        <x:v>-0.7487988</x:v>
      </x:c>
      <x:c r="N19" s="12" t="n">
        <x:v>-0.8341841999999999</x:v>
      </x:c>
      <x:c r="O19" s="12" t="n">
        <x:f>IF(COUNT(L19:N19)=3,AVERAGE(L19:N19),"")</x:f>
        <x:v>-0.7907777999999999</x:v>
      </x:c>
      <x:c r="P19" s="13" t="n"/>
      <x:c r="Q19" s="13" t="n"/>
      <x:c r="R19" s="13" t="n"/>
      <x:c r="S19" s="13" t="str">
        <x:f>IF(COUNT(P19:R19)=3,AVERAGE(P19:R19),"")</x:f>
      </x:c>
      <x:c r="T19" s="13" t="n"/>
      <x:c r="U19" s="13" t="n"/>
      <x:c r="V19" s="13" t="n"/>
      <x:c r="W19" s="13" t="str">
        <x:f>IF(COUNT(T19:V19)=3,AVERAGE(T19:V19),"")</x:f>
      </x:c>
      <x:c r="X19" s="12" t="n"/>
      <x:c r="Y19" s="12" t="n"/>
      <x:c r="Z19" s="12" t="n"/>
      <x:c r="AA19" s="12" t="str">
        <x:f>IF(COUNT(X19:Z19)=3,AVERAGE(X19:Z19),"")</x:f>
      </x:c>
      <x:c r="AB19" s="12" t="n"/>
      <x:c r="AC19" s="12" t="n"/>
      <x:c r="AD19" s="12" t="n"/>
      <x:c r="AE19" s="12" t="str">
        <x:f>IF(COUNT(AB19:AD19)=3,AVERAGE(AB19:AD19),"")</x:f>
      </x:c>
      <x:c r="AF19" s="12" t="n"/>
      <x:c r="AG19" s="12" t="n"/>
      <x:c r="AH19" s="12" t="n"/>
      <x:c r="AI19" s="12" t="str">
        <x:f>IF(COUNT(AF19:AH19)=3,AVERAGE(AF19:AH19),"")</x:f>
      </x:c>
      <x:c r="AJ19" s="12" t="str">
        <x:f>IF(COUNT(X19,AB19,AF19)=3,SUM(X19,AB19,AF19),"")</x:f>
      </x:c>
      <x:c r="AK19" s="12" t="str">
        <x:f>IF(COUNT(Y19,AC19,AG19)=3,SUM(Y19,AC19,AG19),"")</x:f>
      </x:c>
      <x:c r="AL19" s="12" t="str">
        <x:f>IF(COUNT(Z19,AD19,AH19)=3,SUM(Z19,AD19,AH19),"")</x:f>
      </x:c>
      <x:c r="AM19" s="12" t="str">
        <x:f>IF(COUNT(AJ19:AL19)=3,AVERAGE(AJ19:AL19),"")</x:f>
      </x:c>
      <x:c r="AN19" s="11" t="n">
        <x:v>0</x:v>
      </x:c>
      <x:c r="AO19" s="11" t="n">
        <x:v>0</x:v>
      </x:c>
      <x:c r="AP19" s="11" t="n">
        <x:v>3</x:v>
      </x:c>
      <x:c r="AQ19" s="11" t="n">
        <x:v>3</x:v>
      </x:c>
      <x:c r="AR19" s="11" t="n">
        <x:v>3</x:v>
      </x:c>
      <x:c r="AS19" s="11" t="n">
        <x:v>3</x:v>
      </x:c>
      <x:c r="AT19" s="11" t="n">
        <x:v>3</x:v>
      </x:c>
      <x:c r="AU19" s="11" t="n">
        <x:v>3</x:v>
      </x:c>
      <x:c r="AV19" s="4" t="inlineStr">
        <x:is>
          <x:t xml:space="preserve">GDP:2015,2016,2017; GDPpc:2015,2016,2017; OilRent:2015,2016,2017; GasRent:2015,2016,2017; CoalRent:2015,2016,2017</x:t>
        </x:is>
      </x:c>
      <x:c r="AW19" s="4" t="inlineStr">
        <x:is>
          <x:t xml:space="preserve">Source blanks retained; no imputation / no blank-to-zero recoding</x:t>
        </x:is>
      </x:c>
    </x:row>
    <x:row r="20">
      <x:c r="A20" s="11" t="inlineStr">
        <x:is>
          <x:t xml:space="preserve">Eswatini</x:t>
        </x:is>
      </x:c>
      <x:c r="B20" s="11" t="inlineStr">
        <x:is>
          <x:t xml:space="preserve">斯威士兰</x:t>
        </x:is>
      </x:c>
      <x:c r="C20" s="11" t="inlineStr">
        <x:is>
          <x:t xml:space="preserve">SWZ</x:t>
        </x:is>
      </x:c>
      <x:c r="D20" s="11" t="inlineStr">
        <x:is>
          <x:t xml:space="preserve">Balancing</x:t>
        </x:is>
      </x:c>
      <x:c r="E20" s="4" t="inlineStr">
        <x:is>
          <x:t xml:space="preserve">System-Deepening Archetype</x:t>
        </x:is>
      </x:c>
      <x:c r="F20" s="4" t="inlineStr">
        <x:is>
          <x:t xml:space="preserve">High stability</x:t>
        </x:is>
      </x:c>
      <x:c r="G20" s="11" t="n"/>
      <x:c r="H20" s="12" t="n">
        <x:v>-0.2900182</x:v>
      </x:c>
      <x:c r="I20" s="12" t="n">
        <x:v>-0.2483557</x:v>
      </x:c>
      <x:c r="J20" s="12" t="n">
        <x:v>-0.2875028</x:v>
      </x:c>
      <x:c r="K20" s="12" t="n">
        <x:f>IF(COUNT(H20:J20)=3,AVERAGE(H20:J20),"")</x:f>
        <x:v>-0.27529223333333336</x:v>
      </x:c>
      <x:c r="L20" s="12" t="n">
        <x:v>-0.4462561</x:v>
      </x:c>
      <x:c r="M20" s="12" t="n">
        <x:v>-0.4484062</x:v>
      </x:c>
      <x:c r="N20" s="12" t="n">
        <x:v>-0.3803327</x:v>
      </x:c>
      <x:c r="O20" s="12" t="n">
        <x:f>IF(COUNT(L20:N20)=3,AVERAGE(L20:N20),"")</x:f>
        <x:v>-0.42499833333333337</x:v>
      </x:c>
      <x:c r="P20" s="13" t="n">
        <x:v>3908217914.218244</x:v>
      </x:c>
      <x:c r="Q20" s="13" t="n">
        <x:v>3722306116.728715</x:v>
      </x:c>
      <x:c r="R20" s="13" t="n">
        <x:v>4462640651.49219</x:v>
      </x:c>
      <x:c r="S20" s="13" t="n">
        <x:f>IF(COUNT(P20:R20)=3,AVERAGE(P20:R20),"")</x:f>
        <x:v>4031054894.146383</x:v>
      </x:c>
      <x:c r="T20" s="13" t="n">
        <x:v>3419.822765595284</x:v>
      </x:c>
      <x:c r="U20" s="13" t="n">
        <x:v>3238.176119613639</x:v>
      </x:c>
      <x:c r="V20" s="13" t="n">
        <x:v>3853.099565696787</x:v>
      </x:c>
      <x:c r="W20" s="13" t="n">
        <x:f>IF(COUNT(T20:V20)=3,AVERAGE(T20:V20),"")</x:f>
        <x:v>3503.6994836352364</x:v>
      </x:c>
      <x:c r="X20" s="12" t="n">
        <x:v>0.124269749067541</x:v>
      </x:c>
      <x:c r="Y20" s="12" t="n">
        <x:v>0.116108859833854</x:v>
      </x:c>
      <x:c r="Z20" s="12" t="n">
        <x:v>0</x:v>
      </x:c>
      <x:c r="AA20" s="12" t="n">
        <x:f>IF(COUNT(X20:Z20)=3,AVERAGE(X20:Z20),"")</x:f>
        <x:v>0.08012620296713167</x:v>
      </x:c>
      <x:c r="AB20" s="12" t="n">
        <x:v>0</x:v>
      </x:c>
      <x:c r="AC20" s="12" t="n">
        <x:v>0</x:v>
      </x:c>
      <x:c r="AD20" s="12" t="n">
        <x:v>0</x:v>
      </x:c>
      <x:c r="AE20" s="12" t="n">
        <x:f>IF(COUNT(AB20:AD20)=3,AVERAGE(AB20:AD20),"")</x:f>
        <x:v>0</x:v>
      </x:c>
      <x:c r="AF20" s="12" t="n">
        <x:v>0.0697393884469083</x:v>
      </x:c>
      <x:c r="AG20" s="12" t="n">
        <x:v>0.110834094905383</x:v>
      </x:c>
      <x:c r="AH20" s="12" t="n">
        <x:v>0.137972175952829</x:v>
      </x:c>
      <x:c r="AI20" s="12" t="n">
        <x:f>IF(COUNT(AF20:AH20)=3,AVERAGE(AF20:AH20),"")</x:f>
        <x:v>0.1061818864350401</x:v>
      </x:c>
      <x:c r="AJ20" s="12" t="n">
        <x:f>IF(COUNT(X20,AB20,AF20)=3,SUM(X20,AB20,AF20),"")</x:f>
        <x:v>0.19400913751444931</x:v>
      </x:c>
      <x:c r="AK20" s="12" t="n">
        <x:f>IF(COUNT(Y20,AC20,AG20)=3,SUM(Y20,AC20,AG20),"")</x:f>
        <x:v>0.22694295473923698</x:v>
      </x:c>
      <x:c r="AL20" s="12" t="n">
        <x:f>IF(COUNT(Z20,AD20,AH20)=3,SUM(Z20,AD20,AH20),"")</x:f>
        <x:v>0.137972175952829</x:v>
      </x:c>
      <x:c r="AM20" s="12" t="n">
        <x:f>IF(COUNT(AJ20:AL20)=3,AVERAGE(AJ20:AL20),"")</x:f>
        <x:v>0.18630808940217178</x:v>
      </x:c>
      <x:c r="AN20" s="11" t="n">
        <x:v>0</x:v>
      </x:c>
      <x:c r="AO20" s="11" t="n">
        <x:v>0</x:v>
      </x:c>
      <x:c r="AP20" s="11" t="n">
        <x:v>0</x:v>
      </x:c>
      <x:c r="AQ20" s="11" t="n">
        <x:v>0</x:v>
      </x:c>
      <x:c r="AR20" s="11" t="n">
        <x:v>0</x:v>
      </x:c>
      <x:c r="AS20" s="11" t="n">
        <x:v>0</x:v>
      </x:c>
      <x:c r="AT20" s="11" t="n">
        <x:v>0</x:v>
      </x:c>
      <x:c r="AU20" s="11" t="n">
        <x:v>0</x:v>
      </x:c>
      <x:c r="AV20" s="4" t="inlineStr">
        <x:is>
          <x:t xml:space="preserve"/>
        </x:is>
      </x:c>
      <x:c r="AW20" s="4" t="inlineStr">
        <x:is>
          <x:t xml:space="preserve">Complete for all raw variables in 2015–2017</x:t>
        </x:is>
      </x:c>
    </x:row>
    <x:row r="21">
      <x:c r="A21" s="11" t="inlineStr">
        <x:is>
          <x:t xml:space="preserve">Ethiopia</x:t>
        </x:is>
      </x:c>
      <x:c r="B21" s="11" t="inlineStr">
        <x:is>
          <x:t xml:space="preserve">埃塞俄比亚</x:t>
        </x:is>
      </x:c>
      <x:c r="C21" s="11" t="inlineStr">
        <x:is>
          <x:t xml:space="preserve">ETH</x:t>
        </x:is>
      </x:c>
      <x:c r="D21" s="11" t="inlineStr">
        <x:is>
          <x:t xml:space="preserve">Leading</x:t>
        </x:is>
      </x:c>
      <x:c r="E21" s="4" t="inlineStr">
        <x:is>
          <x:t xml:space="preserve">Scale-and-Momentum Leadership Archetype</x:t>
        </x:is>
      </x:c>
      <x:c r="F21" s="4" t="inlineStr">
        <x:is>
          <x:t xml:space="preserve">High stability</x:t>
        </x:is>
      </x:c>
      <x:c r="G21" s="11" t="n"/>
      <x:c r="H21" s="12" t="n">
        <x:v>-0.5298526</x:v>
      </x:c>
      <x:c r="I21" s="12" t="n">
        <x:v>-0.4771006</x:v>
      </x:c>
      <x:c r="J21" s="12" t="n">
        <x:v>-0.5281279</x:v>
      </x:c>
      <x:c r="K21" s="12" t="n">
        <x:f>IF(COUNT(H21:J21)=3,AVERAGE(H21:J21),"")</x:f>
        <x:v>-0.5116936999999999</x:v>
      </x:c>
      <x:c r="L21" s="12" t="n">
        <x:v>-1.2635434</x:v>
      </x:c>
      <x:c r="M21" s="12" t="n">
        <x:v>-1.4396576</x:v>
      </x:c>
      <x:c r="N21" s="12" t="n">
        <x:v>-1.5195725</x:v>
      </x:c>
      <x:c r="O21" s="12" t="n">
        <x:f>IF(COUNT(L21:N21)=3,AVERAGE(L21:N21),"")</x:f>
        <x:v>-1.4075911666666665</x:v>
      </x:c>
      <x:c r="P21" s="13" t="n">
        <x:v>62103418181.81818</x:v>
      </x:c>
      <x:c r="Q21" s="13" t="n">
        <x:v>68475871209.60699</x:v>
      </x:c>
      <x:c r="R21" s="13" t="n">
        <x:v>76366081766.66667</x:v>
      </x:c>
      <x:c r="S21" s="13" t="n">
        <x:f>IF(COUNT(P21:R21)=3,AVERAGE(P21:R21),"")</x:f>
        <x:v>68981790386.03062</x:v>
      </x:c>
      <x:c r="T21" s="13" t="n">
        <x:v>597.9121132186633</x:v>
      </x:c>
      <x:c r="U21" s="13" t="n">
        <x:v>641.6515232862331</x:v>
      </x:c>
      <x:c r="V21" s="13" t="n">
        <x:v>696.3484290762159</x:v>
      </x:c>
      <x:c r="W21" s="13" t="n">
        <x:f>IF(COUNT(T21:V21)=3,AVERAGE(T21:V21),"")</x:f>
        <x:v>645.3040218603707</x:v>
      </x:c>
      <x:c r="X21" s="12" t="n">
        <x:v>0.00285682989554231</x:v>
      </x:c>
      <x:c r="Y21" s="12" t="n">
        <x:v>0.00272401031151283</x:v>
      </x:c>
      <x:c r="Z21" s="12" t="n">
        <x:v>0</x:v>
      </x:c>
      <x:c r="AA21" s="12" t="n">
        <x:f>IF(COUNT(X21:Z21)=3,AVERAGE(X21:Z21),"")</x:f>
        <x:v>0.0018602800690183802</x:v>
      </x:c>
      <x:c r="AB21" s="12" t="n">
        <x:v>0</x:v>
      </x:c>
      <x:c r="AC21" s="12" t="n">
        <x:v>0</x:v>
      </x:c>
      <x:c r="AD21" s="12" t="n">
        <x:v>0</x:v>
      </x:c>
      <x:c r="AE21" s="12" t="n">
        <x:f>IF(COUNT(AB21:AD21)=3,AVERAGE(AB21:AD21),"")</x:f>
        <x:v>0</x:v>
      </x:c>
      <x:c r="AF21" s="12" t="n">
        <x:v>0</x:v>
      </x:c>
      <x:c r="AG21" s="12" t="n">
        <x:v>9.905386736812381e-05</x:v>
      </x:c>
      <x:c r="AH21" s="12" t="n">
        <x:v>0.000130013475187816</x:v>
      </x:c>
      <x:c r="AI21" s="12" t="n">
        <x:f>IF(COUNT(AF21:AH21)=3,AVERAGE(AF21:AH21),"")</x:f>
        <x:v>0.00007635578085197993</x:v>
      </x:c>
      <x:c r="AJ21" s="12" t="n">
        <x:f>IF(COUNT(X21,AB21,AF21)=3,SUM(X21,AB21,AF21),"")</x:f>
        <x:v>0.00285682989554231</x:v>
      </x:c>
      <x:c r="AK21" s="12" t="n">
        <x:f>IF(COUNT(Y21,AC21,AG21)=3,SUM(Y21,AC21,AG21),"")</x:f>
        <x:v>0.002823064178880954</x:v>
      </x:c>
      <x:c r="AL21" s="12" t="n">
        <x:f>IF(COUNT(Z21,AD21,AH21)=3,SUM(Z21,AD21,AH21),"")</x:f>
        <x:v>0.000130013475187816</x:v>
      </x:c>
      <x:c r="AM21" s="12" t="n">
        <x:f>IF(COUNT(AJ21:AL21)=3,AVERAGE(AJ21:AL21),"")</x:f>
        <x:v>0.00193663584987036</x:v>
      </x:c>
      <x:c r="AN21" s="11" t="n">
        <x:v>0</x:v>
      </x:c>
      <x:c r="AO21" s="11" t="n">
        <x:v>0</x:v>
      </x:c>
      <x:c r="AP21" s="11" t="n">
        <x:v>0</x:v>
      </x:c>
      <x:c r="AQ21" s="11" t="n">
        <x:v>0</x:v>
      </x:c>
      <x:c r="AR21" s="11" t="n">
        <x:v>0</x:v>
      </x:c>
      <x:c r="AS21" s="11" t="n">
        <x:v>0</x:v>
      </x:c>
      <x:c r="AT21" s="11" t="n">
        <x:v>0</x:v>
      </x:c>
      <x:c r="AU21" s="11" t="n">
        <x:v>0</x:v>
      </x:c>
      <x:c r="AV21" s="4" t="inlineStr">
        <x:is>
          <x:t xml:space="preserve"/>
        </x:is>
      </x:c>
      <x:c r="AW21" s="4" t="inlineStr">
        <x:is>
          <x:t xml:space="preserve">Complete for all raw variables in 2015–2017</x:t>
        </x:is>
      </x:c>
    </x:row>
    <x:row r="22">
      <x:c r="A22" s="11" t="inlineStr">
        <x:is>
          <x:t xml:space="preserve">Gabon</x:t>
        </x:is>
      </x:c>
      <x:c r="B22" s="11" t="inlineStr">
        <x:is>
          <x:t xml:space="preserve">加蓬</x:t>
        </x:is>
      </x:c>
      <x:c r="C22" s="11" t="inlineStr">
        <x:is>
          <x:t xml:space="preserve">GAB</x:t>
        </x:is>
      </x:c>
      <x:c r="D22" s="11" t="inlineStr">
        <x:is>
          <x:t xml:space="preserve">Balancing</x:t>
        </x:is>
      </x:c>
      <x:c r="E22" s="4" t="inlineStr">
        <x:is>
          <x:t xml:space="preserve">System-Deepening Archetype</x:t>
        </x:is>
      </x:c>
      <x:c r="F22" s="4" t="inlineStr">
        <x:is>
          <x:t xml:space="preserve">High stability</x:t>
        </x:is>
      </x:c>
      <x:c r="G22" s="11" t="n"/>
      <x:c r="H22" s="12" t="n">
        <x:v>-0.7023889999999999</x:v>
      </x:c>
      <x:c r="I22" s="12" t="n">
        <x:v>-0.6634804</x:v>
      </x:c>
      <x:c r="J22" s="12" t="n">
        <x:v>-0.8272048</x:v>
      </x:c>
      <x:c r="K22" s="12" t="n">
        <x:f>IF(COUNT(H22:J22)=3,AVERAGE(H22:J22),"")</x:f>
        <x:v>-0.7310247333333333</x:v>
      </x:c>
      <x:c r="L22" s="12" t="n">
        <x:v>-0.1148078</x:v>
      </x:c>
      <x:c r="M22" s="12" t="n">
        <x:v>-0.5345791999999999</x:v>
      </x:c>
      <x:c r="N22" s="12" t="n">
        <x:v>-0.4524644</x:v>
      </x:c>
      <x:c r="O22" s="12" t="n">
        <x:f>IF(COUNT(L22:N22)=3,AVERAGE(L22:N22),"")</x:f>
        <x:v>-0.3672838</x:v>
      </x:c>
      <x:c r="P22" s="13" t="n">
        <x:v>14383107762.69518</x:v>
      </x:c>
      <x:c r="Q22" s="13" t="n">
        <x:v>14023890265.36646</x:v>
      </x:c>
      <x:c r="R22" s="13" t="n">
        <x:v>14929487485.16228</x:v>
      </x:c>
      <x:c r="S22" s="13" t="n">
        <x:f>IF(COUNT(P22:R22)=3,AVERAGE(P22:R22),"")</x:f>
        <x:v>14445495171.07464</x:v>
      </x:c>
      <x:c r="T22" s="13" t="n">
        <x:v>7047.126546343554</x:v>
      </x:c>
      <x:c r="U22" s="13" t="n">
        <x:v>6677.070039016437</x:v>
      </x:c>
      <x:c r="V22" s="13" t="n">
        <x:v>6921.73373135624</x:v>
      </x:c>
      <x:c r="W22" s="13" t="n">
        <x:f>IF(COUNT(T22:V22)=3,AVERAGE(T22:V22),"")</x:f>
        <x:v>6881.976772238743</x:v>
      </x:c>
      <x:c r="X22" s="12" t="n">
        <x:v>9.98640233955356</x:v>
      </x:c>
      <x:c r="Y22" s="12" t="n">
        <x:v>9.018541613299201</x:v>
      </x:c>
      <x:c r="Z22" s="12" t="n">
        <x:v>14.3932577694784</x:v>
      </x:c>
      <x:c r="AA22" s="12" t="n">
        <x:f>IF(COUNT(X22:Z22)=3,AVERAGE(X22:Z22),"")</x:f>
        <x:v>11.132733907443722</x:v>
      </x:c>
      <x:c r="AB22" s="12" t="n">
        <x:v>0.259727579161708</x:v>
      </x:c>
      <x:c r="AC22" s="12" t="n">
        <x:v>0.180381369327729</x:v>
      </x:c>
      <x:c r="AD22" s="12" t="n">
        <x:v>0.183250931989039</x:v>
      </x:c>
      <x:c r="AE22" s="12" t="n">
        <x:f>IF(COUNT(AB22:AD22)=3,AVERAGE(AB22:AD22),"")</x:f>
        <x:v>0.20778662682615867</x:v>
      </x:c>
      <x:c r="AF22" s="12" t="n">
        <x:v>0</x:v>
      </x:c>
      <x:c r="AG22" s="12" t="n">
        <x:v>0</x:v>
      </x:c>
      <x:c r="AH22" s="12" t="n">
        <x:v>0</x:v>
      </x:c>
      <x:c r="AI22" s="12" t="n">
        <x:f>IF(COUNT(AF22:AH22)=3,AVERAGE(AF22:AH22),"")</x:f>
        <x:v>0</x:v>
      </x:c>
      <x:c r="AJ22" s="12" t="n">
        <x:f>IF(COUNT(X22,AB22,AF22)=3,SUM(X22,AB22,AF22),"")</x:f>
        <x:v>10.246129918715269</x:v>
      </x:c>
      <x:c r="AK22" s="12" t="n">
        <x:f>IF(COUNT(Y22,AC22,AG22)=3,SUM(Y22,AC22,AG22),"")</x:f>
        <x:v>9.19892298262693</x:v>
      </x:c>
      <x:c r="AL22" s="12" t="n">
        <x:f>IF(COUNT(Z22,AD22,AH22)=3,SUM(Z22,AD22,AH22),"")</x:f>
        <x:v>14.57650870146744</x:v>
      </x:c>
      <x:c r="AM22" s="12" t="n">
        <x:f>IF(COUNT(AJ22:AL22)=3,AVERAGE(AJ22:AL22),"")</x:f>
        <x:v>11.34052053426988</x:v>
      </x:c>
      <x:c r="AN22" s="11" t="n">
        <x:v>0</x:v>
      </x:c>
      <x:c r="AO22" s="11" t="n">
        <x:v>0</x:v>
      </x:c>
      <x:c r="AP22" s="11" t="n">
        <x:v>0</x:v>
      </x:c>
      <x:c r="AQ22" s="11" t="n">
        <x:v>0</x:v>
      </x:c>
      <x:c r="AR22" s="11" t="n">
        <x:v>0</x:v>
      </x:c>
      <x:c r="AS22" s="11" t="n">
        <x:v>0</x:v>
      </x:c>
      <x:c r="AT22" s="11" t="n">
        <x:v>0</x:v>
      </x:c>
      <x:c r="AU22" s="11" t="n">
        <x:v>0</x:v>
      </x:c>
      <x:c r="AV22" s="4" t="inlineStr">
        <x:is>
          <x:t xml:space="preserve"/>
        </x:is>
      </x:c>
      <x:c r="AW22" s="4" t="inlineStr">
        <x:is>
          <x:t xml:space="preserve">Complete for all raw variables in 2015–2017</x:t>
        </x:is>
      </x:c>
    </x:row>
    <x:row r="23">
      <x:c r="A23" s="11" t="inlineStr">
        <x:is>
          <x:t xml:space="preserve">Gambia</x:t>
        </x:is>
      </x:c>
      <x:c r="B23" s="11" t="inlineStr">
        <x:is>
          <x:t xml:space="preserve">冈比亚</x:t>
        </x:is>
      </x:c>
      <x:c r="C23" s="11" t="inlineStr">
        <x:is>
          <x:t xml:space="preserve">GMB</x:t>
        </x:is>
      </x:c>
      <x:c r="D23" s="11" t="inlineStr">
        <x:is>
          <x:t xml:space="preserve">Lagging</x:t>
        </x:is>
      </x:c>
      <x:c r="E23" s="4" t="inlineStr">
        <x:is>
          <x:t xml:space="preserve">Transition-Constrained Archetype</x:t>
        </x:is>
      </x:c>
      <x:c r="F23" s="4" t="inlineStr">
        <x:is>
          <x:t xml:space="preserve">High stability</x:t>
        </x:is>
      </x:c>
      <x:c r="G23" s="11" t="n"/>
      <x:c r="H23" s="12" t="n">
        <x:v>-0.6335683</x:v>
      </x:c>
      <x:c r="I23" s="12" t="n">
        <x:v>-0.6110704</x:v>
      </x:c>
      <x:c r="J23" s="12" t="n">
        <x:v>-0.5220745999999999</x:v>
      </x:c>
      <x:c r="K23" s="12" t="n">
        <x:f>IF(COUNT(H23:J23)=3,AVERAGE(H23:J23),"")</x:f>
        <x:v>-0.5889044333333332</x:v>
      </x:c>
      <x:c r="L23" s="12" t="n">
        <x:v>-0.2105016</x:v>
      </x:c>
      <x:c r="M23" s="12" t="n">
        <x:v>-0.446274</x:v>
      </x:c>
      <x:c r="N23" s="12" t="n">
        <x:v>-0.1969537</x:v>
      </x:c>
      <x:c r="O23" s="12" t="n">
        <x:f>IF(COUNT(L23:N23)=3,AVERAGE(L23:N23),"")</x:f>
        <x:v>-0.2845764333333333</x:v>
      </x:c>
      <x:c r="P23" s="13" t="n">
        <x:v>1378176608.932041</x:v>
      </x:c>
      <x:c r="Q23" s="13" t="n">
        <x:v>1484578885.971323</x:v>
      </x:c>
      <x:c r="R23" s="13" t="n">
        <x:v>1504909462.695211</x:v>
      </x:c>
      <x:c r="S23" s="13" t="n">
        <x:f>IF(COUNT(P23:R23)=3,AVERAGE(P23:R23),"")</x:f>
        <x:v>1455888319.199525</x:v>
      </x:c>
      <x:c r="T23" s="13" t="n">
        <x:v>619.5363642964605</x:v>
      </x:c>
      <x:c r="U23" s="13" t="n">
        <x:v>650.0565013236113</x:v>
      </x:c>
      <x:c r="V23" s="13" t="n">
        <x:v>642.5226412963307</x:v>
      </x:c>
      <x:c r="W23" s="13" t="n">
        <x:f>IF(COUNT(T23:V23)=3,AVERAGE(T23:V23),"")</x:f>
        <x:v>637.3718356388008</x:v>
      </x:c>
      <x:c r="X23" s="12" t="n">
        <x:v>0</x:v>
      </x:c>
      <x:c r="Y23" s="12" t="n">
        <x:v>0</x:v>
      </x:c>
      <x:c r="Z23" s="12" t="n">
        <x:v>0</x:v>
      </x:c>
      <x:c r="AA23" s="12" t="n">
        <x:f>IF(COUNT(X23:Z23)=3,AVERAGE(X23:Z23),"")</x:f>
        <x:v>0</x:v>
      </x:c>
      <x:c r="AB23" s="12" t="n">
        <x:v>0</x:v>
      </x:c>
      <x:c r="AC23" s="12" t="n">
        <x:v>0</x:v>
      </x:c>
      <x:c r="AD23" s="12" t="n">
        <x:v>0</x:v>
      </x:c>
      <x:c r="AE23" s="12" t="n">
        <x:f>IF(COUNT(AB23:AD23)=3,AVERAGE(AB23:AD23),"")</x:f>
        <x:v>0</x:v>
      </x:c>
      <x:c r="AF23" s="12" t="n">
        <x:v>0</x:v>
      </x:c>
      <x:c r="AG23" s="12" t="n">
        <x:v>0</x:v>
      </x:c>
      <x:c r="AH23" s="12" t="n">
        <x:v>0</x:v>
      </x:c>
      <x:c r="AI23" s="12" t="n">
        <x:f>IF(COUNT(AF23:AH23)=3,AVERAGE(AF23:AH23),"")</x:f>
        <x:v>0</x:v>
      </x:c>
      <x:c r="AJ23" s="12" t="n">
        <x:f>IF(COUNT(X23,AB23,AF23)=3,SUM(X23,AB23,AF23),"")</x:f>
        <x:v>0</x:v>
      </x:c>
      <x:c r="AK23" s="12" t="n">
        <x:f>IF(COUNT(Y23,AC23,AG23)=3,SUM(Y23,AC23,AG23),"")</x:f>
        <x:v>0</x:v>
      </x:c>
      <x:c r="AL23" s="12" t="n">
        <x:f>IF(COUNT(Z23,AD23,AH23)=3,SUM(Z23,AD23,AH23),"")</x:f>
        <x:v>0</x:v>
      </x:c>
      <x:c r="AM23" s="12" t="n">
        <x:f>IF(COUNT(AJ23:AL23)=3,AVERAGE(AJ23:AL23),"")</x:f>
        <x:v>0</x:v>
      </x:c>
      <x:c r="AN23" s="11" t="n">
        <x:v>0</x:v>
      </x:c>
      <x:c r="AO23" s="11" t="n">
        <x:v>0</x:v>
      </x:c>
      <x:c r="AP23" s="11" t="n">
        <x:v>0</x:v>
      </x:c>
      <x:c r="AQ23" s="11" t="n">
        <x:v>0</x:v>
      </x:c>
      <x:c r="AR23" s="11" t="n">
        <x:v>0</x:v>
      </x:c>
      <x:c r="AS23" s="11" t="n">
        <x:v>0</x:v>
      </x:c>
      <x:c r="AT23" s="11" t="n">
        <x:v>0</x:v>
      </x:c>
      <x:c r="AU23" s="11" t="n">
        <x:v>0</x:v>
      </x:c>
      <x:c r="AV23" s="4" t="inlineStr">
        <x:is>
          <x:t xml:space="preserve"/>
        </x:is>
      </x:c>
      <x:c r="AW23" s="4" t="inlineStr">
        <x:is>
          <x:t xml:space="preserve">Complete for all raw variables in 2015–2017</x:t>
        </x:is>
      </x:c>
    </x:row>
    <x:row r="24">
      <x:c r="A24" s="11" t="inlineStr">
        <x:is>
          <x:t xml:space="preserve">Ghana</x:t>
        </x:is>
      </x:c>
      <x:c r="B24" s="11" t="inlineStr">
        <x:is>
          <x:t xml:space="preserve">加纳</x:t>
        </x:is>
      </x:c>
      <x:c r="C24" s="11" t="inlineStr">
        <x:is>
          <x:t xml:space="preserve">GHA</x:t>
        </x:is>
      </x:c>
      <x:c r="D24" s="11" t="inlineStr">
        <x:is>
          <x:t xml:space="preserve">Balancing</x:t>
        </x:is>
      </x:c>
      <x:c r="E24" s="4" t="inlineStr">
        <x:is>
          <x:t xml:space="preserve">System-Deepening Archetype</x:t>
        </x:is>
      </x:c>
      <x:c r="F24" s="4" t="inlineStr">
        <x:is>
          <x:t xml:space="preserve">High stability</x:t>
        </x:is>
      </x:c>
      <x:c r="G24" s="11" t="n"/>
      <x:c r="H24" s="12" t="n">
        <x:v>-0.085856</x:v>
      </x:c>
      <x:c r="I24" s="12" t="n">
        <x:v>0.0177698</x:v>
      </x:c>
      <x:c r="J24" s="12" t="n">
        <x:v>0.0366097</x:v>
      </x:c>
      <x:c r="K24" s="12" t="n">
        <x:f>IF(COUNT(H24:J24)=3,AVERAGE(H24:J24),"")</x:f>
        <x:v>-0.010492166666666665</x:v>
      </x:c>
      <x:c r="L24" s="12" t="n">
        <x:v>-0.0228697</x:v>
      </x:c>
      <x:c r="M24" s="12" t="n">
        <x:v>-0.128208</x:v>
      </x:c>
      <x:c r="N24" s="12" t="n">
        <x:v>0.06639489999999999</x:v>
      </x:c>
      <x:c r="O24" s="12" t="n">
        <x:f>IF(COUNT(L24:N24)=3,AVERAGE(L24:N24),"")</x:f>
        <x:v>-0.028227599999999995</x:v>
      </x:c>
      <x:c r="P24" s="13" t="n">
        <x:v>49436806230.48395</x:v>
      </x:c>
      <x:c r="Q24" s="13" t="n">
        <x:v>56144179397.85165</x:v>
      </x:c>
      <x:c r="R24" s="13" t="n">
        <x:v>60385409434.85667</x:v>
      </x:c>
      <x:c r="S24" s="13" t="n">
        <x:f>IF(COUNT(P24:R24)=3,AVERAGE(P24:R24),"")</x:f>
        <x:v>55322131687.73075</x:v>
      </x:c>
      <x:c r="T24" s="13" t="n">
        <x:v>1722.772828336062</x:v>
      </x:c>
      <x:c r="U24" s="13" t="n">
        <x:v>1912.479913399506</x:v>
      </x:c>
      <x:c r="V24" s="13" t="n">
        <x:v>2012.286626412654</x:v>
      </x:c>
      <x:c r="W24" s="13" t="n">
        <x:f>IF(COUNT(T24:V24)=3,AVERAGE(T24:V24),"")</x:f>
        <x:v>1882.513122716074</x:v>
      </x:c>
      <x:c r="X24" s="12" t="n">
        <x:v>1.29146546233544</x:v>
      </x:c>
      <x:c r="Y24" s="12" t="n">
        <x:v>1.00121845985195</x:v>
      </x:c>
      <x:c r="Z24" s="12" t="n">
        <x:v>2.60564944915053</x:v>
      </x:c>
      <x:c r="AA24" s="12" t="n">
        <x:f>IF(COUNT(X24:Z24)=3,AVERAGE(X24:Z24),"")</x:f>
        <x:v>1.6327777904459733</x:v>
      </x:c>
      <x:c r="AB24" s="12" t="n">
        <x:v>0.0841913549188799</x:v>
      </x:c>
      <x:c r="AC24" s="12" t="n">
        <x:v>0.0451266748124126</x:v>
      </x:c>
      <x:c r="AD24" s="12" t="n">
        <x:v>0.0717217647016315</x:v>
      </x:c>
      <x:c r="AE24" s="12" t="n">
        <x:f>IF(COUNT(AB24:AD24)=3,AVERAGE(AB24:AD24),"")</x:f>
        <x:v>0.06701326481097467</x:v>
      </x:c>
      <x:c r="AF24" s="12" t="n">
        <x:v>0</x:v>
      </x:c>
      <x:c r="AG24" s="12" t="n">
        <x:v>0</x:v>
      </x:c>
      <x:c r="AH24" s="12" t="n">
        <x:v>0</x:v>
      </x:c>
      <x:c r="AI24" s="12" t="n">
        <x:f>IF(COUNT(AF24:AH24)=3,AVERAGE(AF24:AH24),"")</x:f>
        <x:v>0</x:v>
      </x:c>
      <x:c r="AJ24" s="12" t="n">
        <x:f>IF(COUNT(X24,AB24,AF24)=3,SUM(X24,AB24,AF24),"")</x:f>
        <x:v>1.37565681725432</x:v>
      </x:c>
      <x:c r="AK24" s="12" t="n">
        <x:f>IF(COUNT(Y24,AC24,AG24)=3,SUM(Y24,AC24,AG24),"")</x:f>
        <x:v>1.0463451346643626</x:v>
      </x:c>
      <x:c r="AL24" s="12" t="n">
        <x:f>IF(COUNT(Z24,AD24,AH24)=3,SUM(Z24,AD24,AH24),"")</x:f>
        <x:v>2.6773712138521617</x:v>
      </x:c>
      <x:c r="AM24" s="12" t="n">
        <x:f>IF(COUNT(AJ24:AL24)=3,AVERAGE(AJ24:AL24),"")</x:f>
        <x:v>1.699791055256948</x:v>
      </x:c>
      <x:c r="AN24" s="11" t="n">
        <x:v>0</x:v>
      </x:c>
      <x:c r="AO24" s="11" t="n">
        <x:v>0</x:v>
      </x:c>
      <x:c r="AP24" s="11" t="n">
        <x:v>0</x:v>
      </x:c>
      <x:c r="AQ24" s="11" t="n">
        <x:v>0</x:v>
      </x:c>
      <x:c r="AR24" s="11" t="n">
        <x:v>0</x:v>
      </x:c>
      <x:c r="AS24" s="11" t="n">
        <x:v>0</x:v>
      </x:c>
      <x:c r="AT24" s="11" t="n">
        <x:v>0</x:v>
      </x:c>
      <x:c r="AU24" s="11" t="n">
        <x:v>0</x:v>
      </x:c>
      <x:c r="AV24" s="4" t="inlineStr">
        <x:is>
          <x:t xml:space="preserve"/>
        </x:is>
      </x:c>
      <x:c r="AW24" s="4" t="inlineStr">
        <x:is>
          <x:t xml:space="preserve">Complete for all raw variables in 2015–2017</x:t>
        </x:is>
      </x:c>
    </x:row>
    <x:row r="25">
      <x:c r="A25" s="11" t="inlineStr">
        <x:is>
          <x:t xml:space="preserve">Guinea</x:t>
        </x:is>
      </x:c>
      <x:c r="B25" s="11" t="inlineStr">
        <x:is>
          <x:t xml:space="preserve">几内亚</x:t>
        </x:is>
      </x:c>
      <x:c r="C25" s="11" t="inlineStr">
        <x:is>
          <x:t xml:space="preserve">GIN</x:t>
        </x:is>
      </x:c>
      <x:c r="D25" s="11" t="inlineStr">
        <x:is>
          <x:t xml:space="preserve">Balancing</x:t>
        </x:is>
      </x:c>
      <x:c r="E25" s="4" t="inlineStr">
        <x:is>
          <x:t xml:space="preserve">System-Deepening Archetype</x:t>
        </x:is>
      </x:c>
      <x:c r="F25" s="4" t="inlineStr">
        <x:is>
          <x:t xml:space="preserve">High stability</x:t>
        </x:is>
      </x:c>
      <x:c r="G25" s="11" t="n"/>
      <x:c r="H25" s="12" t="n">
        <x:v>-0.9452185</x:v>
      </x:c>
      <x:c r="I25" s="12" t="n">
        <x:v>-0.8784328</x:v>
      </x:c>
      <x:c r="J25" s="12" t="n">
        <x:v>-0.888003</x:v>
      </x:c>
      <x:c r="K25" s="12" t="n">
        <x:f>IF(COUNT(H25:J25)=3,AVERAGE(H25:J25),"")</x:f>
        <x:v>-0.9038847666666666</x:v>
      </x:c>
      <x:c r="L25" s="12" t="n">
        <x:v>-0.7463171</x:v>
      </x:c>
      <x:c r="M25" s="12" t="n">
        <x:v>-0.5776285999999999</x:v>
      </x:c>
      <x:c r="N25" s="12" t="n">
        <x:v>-0.8004070999999999</x:v>
      </x:c>
      <x:c r="O25" s="12" t="n">
        <x:f>IF(COUNT(L25:N25)=3,AVERAGE(L25:N25),"")</x:f>
        <x:v>-0.7081175999999999</x:v>
      </x:c>
      <x:c r="P25" s="13" t="n">
        <x:v>8794201742.846092</x:v>
      </x:c>
      <x:c r="Q25" s="13" t="n">
        <x:v>8595955222.497192</x:v>
      </x:c>
      <x:c r="R25" s="13" t="n">
        <x:v>10324668271.13623</x:v>
      </x:c>
      <x:c r="S25" s="13" t="n">
        <x:f>IF(COUNT(P25:R25)=3,AVERAGE(P25:R25),"")</x:f>
        <x:v>9238275078.826506</x:v>
      </x:c>
      <x:c r="T25" s="13" t="n">
        <x:v>747.3569667594476</x:v>
      </x:c>
      <x:c r="U25" s="13" t="n">
        <x:v>711.9965097823158</x:v>
      </x:c>
      <x:c r="V25" s="13" t="n">
        <x:v>833.598621691121</x:v>
      </x:c>
      <x:c r="W25" s="13" t="n">
        <x:f>IF(COUNT(T25:V25)=3,AVERAGE(T25:V25),"")</x:f>
        <x:v>764.3173660776282</x:v>
      </x:c>
      <x:c r="X25" s="12" t="n">
        <x:v>0</x:v>
      </x:c>
      <x:c r="Y25" s="12" t="n">
        <x:v>0</x:v>
      </x:c>
      <x:c r="Z25" s="12" t="n">
        <x:v>0</x:v>
      </x:c>
      <x:c r="AA25" s="12" t="n">
        <x:f>IF(COUNT(X25:Z25)=3,AVERAGE(X25:Z25),"")</x:f>
        <x:v>0</x:v>
      </x:c>
      <x:c r="AB25" s="12" t="n">
        <x:v>0</x:v>
      </x:c>
      <x:c r="AC25" s="12" t="n">
        <x:v>0</x:v>
      </x:c>
      <x:c r="AD25" s="12" t="n">
        <x:v>0</x:v>
      </x:c>
      <x:c r="AE25" s="12" t="n">
        <x:f>IF(COUNT(AB25:AD25)=3,AVERAGE(AB25:AD25),"")</x:f>
        <x:v>0</x:v>
      </x:c>
      <x:c r="AF25" s="12" t="n">
        <x:v>0</x:v>
      </x:c>
      <x:c r="AG25" s="12" t="n">
        <x:v>0</x:v>
      </x:c>
      <x:c r="AH25" s="12" t="n">
        <x:v>0</x:v>
      </x:c>
      <x:c r="AI25" s="12" t="n">
        <x:f>IF(COUNT(AF25:AH25)=3,AVERAGE(AF25:AH25),"")</x:f>
        <x:v>0</x:v>
      </x:c>
      <x:c r="AJ25" s="12" t="n">
        <x:f>IF(COUNT(X25,AB25,AF25)=3,SUM(X25,AB25,AF25),"")</x:f>
        <x:v>0</x:v>
      </x:c>
      <x:c r="AK25" s="12" t="n">
        <x:f>IF(COUNT(Y25,AC25,AG25)=3,SUM(Y25,AC25,AG25),"")</x:f>
        <x:v>0</x:v>
      </x:c>
      <x:c r="AL25" s="12" t="n">
        <x:f>IF(COUNT(Z25,AD25,AH25)=3,SUM(Z25,AD25,AH25),"")</x:f>
        <x:v>0</x:v>
      </x:c>
      <x:c r="AM25" s="12" t="n">
        <x:f>IF(COUNT(AJ25:AL25)=3,AVERAGE(AJ25:AL25),"")</x:f>
        <x:v>0</x:v>
      </x:c>
      <x:c r="AN25" s="11" t="n">
        <x:v>0</x:v>
      </x:c>
      <x:c r="AO25" s="11" t="n">
        <x:v>0</x:v>
      </x:c>
      <x:c r="AP25" s="11" t="n">
        <x:v>0</x:v>
      </x:c>
      <x:c r="AQ25" s="11" t="n">
        <x:v>0</x:v>
      </x:c>
      <x:c r="AR25" s="11" t="n">
        <x:v>0</x:v>
      </x:c>
      <x:c r="AS25" s="11" t="n">
        <x:v>0</x:v>
      </x:c>
      <x:c r="AT25" s="11" t="n">
        <x:v>0</x:v>
      </x:c>
      <x:c r="AU25" s="11" t="n">
        <x:v>0</x:v>
      </x:c>
      <x:c r="AV25" s="4" t="inlineStr">
        <x:is>
          <x:t xml:space="preserve"/>
        </x:is>
      </x:c>
      <x:c r="AW25" s="4" t="inlineStr">
        <x:is>
          <x:t xml:space="preserve">Complete for all raw variables in 2015–2017</x:t>
        </x:is>
      </x:c>
    </x:row>
    <x:row r="26">
      <x:c r="A26" s="11" t="inlineStr">
        <x:is>
          <x:t xml:space="preserve">Guinea-Bissau</x:t>
        </x:is>
      </x:c>
      <x:c r="B26" s="11" t="inlineStr">
        <x:is>
          <x:t xml:space="preserve">几内亚比绍</x:t>
        </x:is>
      </x:c>
      <x:c r="C26" s="11" t="inlineStr">
        <x:is>
          <x:t xml:space="preserve">GNB</x:t>
        </x:is>
      </x:c>
      <x:c r="D26" s="11" t="inlineStr">
        <x:is>
          <x:t xml:space="preserve">Lagging</x:t>
        </x:is>
      </x:c>
      <x:c r="E26" s="4" t="inlineStr">
        <x:is>
          <x:t xml:space="preserve">Transition-Constrained Archetype</x:t>
        </x:is>
      </x:c>
      <x:c r="F26" s="4" t="inlineStr">
        <x:is>
          <x:t xml:space="preserve">High stability</x:t>
        </x:is>
      </x:c>
      <x:c r="G26" s="11" t="n"/>
      <x:c r="H26" s="12" t="n">
        <x:v>-1.3953114</x:v>
      </x:c>
      <x:c r="I26" s="12" t="n">
        <x:v>-1.4408281</x:v>
      </x:c>
      <x:c r="J26" s="12" t="n">
        <x:v>-1.5425984</x:v>
      </x:c>
      <x:c r="K26" s="12" t="n">
        <x:f>IF(COUNT(H26:J26)=3,AVERAGE(H26:J26),"")</x:f>
        <x:v>-1.4595793</x:v>
      </x:c>
      <x:c r="L26" s="12" t="n">
        <x:v>-0.5875693</x:v>
      </x:c>
      <x:c r="M26" s="12" t="n">
        <x:v>-0.5084519</x:v>
      </x:c>
      <x:c r="N26" s="12" t="n">
        <x:v>-0.5820373999999999</x:v>
      </x:c>
      <x:c r="O26" s="12" t="n">
        <x:f>IF(COUNT(L26:N26)=3,AVERAGE(L26:N26),"")</x:f>
        <x:v>-0.5593528666666666</x:v>
      </x:c>
      <x:c r="P26" s="13" t="n">
        <x:v>1152384166.796375</x:v>
      </x:c>
      <x:c r="Q26" s="13" t="n">
        <x:v>1245074264.103961</x:v>
      </x:c>
      <x:c r="R26" s="13" t="n">
        <x:v>1469978606.121431</x:v>
      </x:c>
      <x:c r="S26" s="13" t="n">
        <x:f>IF(COUNT(P26:R26)=3,AVERAGE(P26:R26),"")</x:f>
        <x:v>1289145679.0072558</x:v>
      </x:c>
      <x:c r="T26" s="13" t="n">
        <x:v>645.0668372070388</x:v>
      </x:c>
      <x:c r="U26" s="13" t="n">
        <x:v>679.6653866268176</x:v>
      </x:c>
      <x:c r="V26" s="13" t="n">
        <x:v>783.123186602022</x:v>
      </x:c>
      <x:c r="W26" s="13" t="n">
        <x:f>IF(COUNT(T26:V26)=3,AVERAGE(T26:V26),"")</x:f>
        <x:v>702.6184701452929</x:v>
      </x:c>
      <x:c r="X26" s="12" t="n">
        <x:v>0</x:v>
      </x:c>
      <x:c r="Y26" s="12" t="n">
        <x:v>0</x:v>
      </x:c>
      <x:c r="Z26" s="12" t="n">
        <x:v>0</x:v>
      </x:c>
      <x:c r="AA26" s="12" t="n">
        <x:f>IF(COUNT(X26:Z26)=3,AVERAGE(X26:Z26),"")</x:f>
        <x:v>0</x:v>
      </x:c>
      <x:c r="AB26" s="12" t="n">
        <x:v>0</x:v>
      </x:c>
      <x:c r="AC26" s="12" t="n">
        <x:v>0</x:v>
      </x:c>
      <x:c r="AD26" s="12" t="n">
        <x:v>0</x:v>
      </x:c>
      <x:c r="AE26" s="12" t="n">
        <x:f>IF(COUNT(AB26:AD26)=3,AVERAGE(AB26:AD26),"")</x:f>
        <x:v>0</x:v>
      </x:c>
      <x:c r="AF26" s="12" t="n">
        <x:v>0</x:v>
      </x:c>
      <x:c r="AG26" s="12" t="n">
        <x:v>0</x:v>
      </x:c>
      <x:c r="AH26" s="12" t="n">
        <x:v>0</x:v>
      </x:c>
      <x:c r="AI26" s="12" t="n">
        <x:f>IF(COUNT(AF26:AH26)=3,AVERAGE(AF26:AH26),"")</x:f>
        <x:v>0</x:v>
      </x:c>
      <x:c r="AJ26" s="12" t="n">
        <x:f>IF(COUNT(X26,AB26,AF26)=3,SUM(X26,AB26,AF26),"")</x:f>
        <x:v>0</x:v>
      </x:c>
      <x:c r="AK26" s="12" t="n">
        <x:f>IF(COUNT(Y26,AC26,AG26)=3,SUM(Y26,AC26,AG26),"")</x:f>
        <x:v>0</x:v>
      </x:c>
      <x:c r="AL26" s="12" t="n">
        <x:f>IF(COUNT(Z26,AD26,AH26)=3,SUM(Z26,AD26,AH26),"")</x:f>
        <x:v>0</x:v>
      </x:c>
      <x:c r="AM26" s="12" t="n">
        <x:f>IF(COUNT(AJ26:AL26)=3,AVERAGE(AJ26:AL26),"")</x:f>
        <x:v>0</x:v>
      </x:c>
      <x:c r="AN26" s="11" t="n">
        <x:v>0</x:v>
      </x:c>
      <x:c r="AO26" s="11" t="n">
        <x:v>0</x:v>
      </x:c>
      <x:c r="AP26" s="11" t="n">
        <x:v>0</x:v>
      </x:c>
      <x:c r="AQ26" s="11" t="n">
        <x:v>0</x:v>
      </x:c>
      <x:c r="AR26" s="11" t="n">
        <x:v>0</x:v>
      </x:c>
      <x:c r="AS26" s="11" t="n">
        <x:v>0</x:v>
      </x:c>
      <x:c r="AT26" s="11" t="n">
        <x:v>0</x:v>
      </x:c>
      <x:c r="AU26" s="11" t="n">
        <x:v>0</x:v>
      </x:c>
      <x:c r="AV26" s="4" t="inlineStr">
        <x:is>
          <x:t xml:space="preserve"/>
        </x:is>
      </x:c>
      <x:c r="AW26" s="4" t="inlineStr">
        <x:is>
          <x:t xml:space="preserve">Complete for all raw variables in 2015–2017</x:t>
        </x:is>
      </x:c>
    </x:row>
    <x:row r="27">
      <x:c r="A27" s="11" t="inlineStr">
        <x:is>
          <x:t xml:space="preserve">Kenya</x:t>
        </x:is>
      </x:c>
      <x:c r="B27" s="11" t="inlineStr">
        <x:is>
          <x:t xml:space="preserve">肯尼亚</x:t>
        </x:is>
      </x:c>
      <x:c r="C27" s="11" t="inlineStr">
        <x:is>
          <x:t xml:space="preserve">KEN</x:t>
        </x:is>
      </x:c>
      <x:c r="D27" s="11" t="inlineStr">
        <x:is>
          <x:t xml:space="preserve">Balancing</x:t>
        </x:is>
      </x:c>
      <x:c r="E27" s="4" t="inlineStr">
        <x:is>
          <x:t xml:space="preserve">System-Deepening Archetype</x:t>
        </x:is>
      </x:c>
      <x:c r="F27" s="4" t="inlineStr">
        <x:is>
          <x:t xml:space="preserve">High stability</x:t>
        </x:is>
      </x:c>
      <x:c r="G27" s="11" t="n"/>
      <x:c r="H27" s="12" t="n">
        <x:v>-0.3675673</x:v>
      </x:c>
      <x:c r="I27" s="12" t="n">
        <x:v>-0.3165797</x:v>
      </x:c>
      <x:c r="J27" s="12" t="n">
        <x:v>-0.3033052</x:v>
      </x:c>
      <x:c r="K27" s="12" t="n">
        <x:f>IF(COUNT(H27:J27)=3,AVERAGE(H27:J27),"")</x:f>
        <x:v>-0.3291507333333334</x:v>
      </x:c>
      <x:c r="L27" s="12" t="n">
        <x:v>-1.2308131</x:v>
      </x:c>
      <x:c r="M27" s="12" t="n">
        <x:v>-1.1791469</x:v>
      </x:c>
      <x:c r="N27" s="12" t="n">
        <x:v>-1.1322093</x:v>
      </x:c>
      <x:c r="O27" s="12" t="n">
        <x:f>IF(COUNT(L27:N27)=3,AVERAGE(L27:N27),"")</x:f>
        <x:v>-1.1807231</x:v>
      </x:c>
      <x:c r="P27" s="13" t="n">
        <x:v>70120446896.83591</x:v>
      </x:c>
      <x:c r="Q27" s="13" t="n">
        <x:v>74815144163.89308</x:v>
      </x:c>
      <x:c r="R27" s="13" t="n">
        <x:v>82036510877.25989</x:v>
      </x:c>
      <x:c r="S27" s="13" t="n">
        <x:f>IF(COUNT(P27:R27)=3,AVERAGE(P27:R27),"")</x:f>
        <x:v>75657367312.66296</x:v>
      </x:c>
      <x:c r="T27" s="13" t="n">
        <x:v>1489.11959777284</x:v>
      </x:c>
      <x:c r="U27" s="13" t="n">
        <x:v>1554.126103144233</x:v>
      </x:c>
      <x:c r="V27" s="13" t="n">
        <x:v>1667.484472308354</x:v>
      </x:c>
      <x:c r="W27" s="13" t="n">
        <x:f>IF(COUNT(T27:V27)=3,AVERAGE(T27:V27),"")</x:f>
        <x:v>1570.2433910751424</x:v>
      </x:c>
      <x:c r="X27" s="12" t="n">
        <x:v>0.00766330802518443</x:v>
      </x:c>
      <x:c r="Y27" s="12" t="n">
        <x:v>0.00658707205828154</x:v>
      </x:c>
      <x:c r="Z27" s="12" t="n">
        <x:v>0</x:v>
      </x:c>
      <x:c r="AA27" s="12" t="n">
        <x:f>IF(COUNT(X27:Z27)=3,AVERAGE(X27:Z27),"")</x:f>
        <x:v>0.004750126694488657</x:v>
      </x:c>
      <x:c r="AB27" s="12" t="n">
        <x:v>0</x:v>
      </x:c>
      <x:c r="AC27" s="12" t="n">
        <x:v>0</x:v>
      </x:c>
      <x:c r="AD27" s="12" t="n">
        <x:v>0</x:v>
      </x:c>
      <x:c r="AE27" s="12" t="n">
        <x:f>IF(COUNT(AB27:AD27)=3,AVERAGE(AB27:AD27),"")</x:f>
        <x:v>0</x:v>
      </x:c>
      <x:c r="AF27" s="12" t="n">
        <x:v>0</x:v>
      </x:c>
      <x:c r="AG27" s="12" t="n">
        <x:v>0</x:v>
      </x:c>
      <x:c r="AH27" s="12" t="n">
        <x:v>0</x:v>
      </x:c>
      <x:c r="AI27" s="12" t="n">
        <x:f>IF(COUNT(AF27:AH27)=3,AVERAGE(AF27:AH27),"")</x:f>
        <x:v>0</x:v>
      </x:c>
      <x:c r="AJ27" s="12" t="n">
        <x:f>IF(COUNT(X27,AB27,AF27)=3,SUM(X27,AB27,AF27),"")</x:f>
        <x:v>0.00766330802518443</x:v>
      </x:c>
      <x:c r="AK27" s="12" t="n">
        <x:f>IF(COUNT(Y27,AC27,AG27)=3,SUM(Y27,AC27,AG27),"")</x:f>
        <x:v>0.00658707205828154</x:v>
      </x:c>
      <x:c r="AL27" s="12" t="n">
        <x:f>IF(COUNT(Z27,AD27,AH27)=3,SUM(Z27,AD27,AH27),"")</x:f>
        <x:v>0</x:v>
      </x:c>
      <x:c r="AM27" s="12" t="n">
        <x:f>IF(COUNT(AJ27:AL27)=3,AVERAGE(AJ27:AL27),"")</x:f>
        <x:v>0.004750126694488657</x:v>
      </x:c>
      <x:c r="AN27" s="11" t="n">
        <x:v>0</x:v>
      </x:c>
      <x:c r="AO27" s="11" t="n">
        <x:v>0</x:v>
      </x:c>
      <x:c r="AP27" s="11" t="n">
        <x:v>0</x:v>
      </x:c>
      <x:c r="AQ27" s="11" t="n">
        <x:v>0</x:v>
      </x:c>
      <x:c r="AR27" s="11" t="n">
        <x:v>0</x:v>
      </x:c>
      <x:c r="AS27" s="11" t="n">
        <x:v>0</x:v>
      </x:c>
      <x:c r="AT27" s="11" t="n">
        <x:v>0</x:v>
      </x:c>
      <x:c r="AU27" s="11" t="n">
        <x:v>0</x:v>
      </x:c>
      <x:c r="AV27" s="4" t="inlineStr">
        <x:is>
          <x:t xml:space="preserve"/>
        </x:is>
      </x:c>
      <x:c r="AW27" s="4" t="inlineStr">
        <x:is>
          <x:t xml:space="preserve">Complete for all raw variables in 2015–2017</x:t>
        </x:is>
      </x:c>
    </x:row>
    <x:row r="28">
      <x:c r="A28" s="11" t="inlineStr">
        <x:is>
          <x:t xml:space="preserve">Lesotho</x:t>
        </x:is>
      </x:c>
      <x:c r="B28" s="11" t="inlineStr">
        <x:is>
          <x:t xml:space="preserve">莱索托</x:t>
        </x:is>
      </x:c>
      <x:c r="C28" s="11" t="inlineStr">
        <x:is>
          <x:t xml:space="preserve">LSO</x:t>
        </x:is>
      </x:c>
      <x:c r="D28" s="11" t="inlineStr">
        <x:is>
          <x:t xml:space="preserve">Balancing</x:t>
        </x:is>
      </x:c>
      <x:c r="E28" s="4" t="inlineStr">
        <x:is>
          <x:t xml:space="preserve">System-Deepening Archetype</x:t>
        </x:is>
      </x:c>
      <x:c r="F28" s="4" t="inlineStr">
        <x:is>
          <x:t xml:space="preserve">High stability</x:t>
        </x:is>
      </x:c>
      <x:c r="G28" s="11" t="n"/>
      <x:c r="H28" s="12" t="n">
        <x:v>-0.56995</x:v>
      </x:c>
      <x:c r="I28" s="12" t="n">
        <x:v>-0.6209408</x:v>
      </x:c>
      <x:c r="J28" s="12" t="n">
        <x:v>-0.6330237</x:v>
      </x:c>
      <x:c r="K28" s="12" t="n">
        <x:f>IF(COUNT(H28:J28)=3,AVERAGE(H28:J28),"")</x:f>
        <x:v>-0.6079715</x:v>
      </x:c>
      <x:c r="L28" s="12" t="n">
        <x:v>-0.2089387</x:v>
      </x:c>
      <x:c r="M28" s="12" t="n">
        <x:v>-0.2746129</x:v>
      </x:c>
      <x:c r="N28" s="12" t="n">
        <x:v>-0.2021614</x:v>
      </x:c>
      <x:c r="O28" s="12" t="n">
        <x:f>IF(COUNT(L28:N28)=3,AVERAGE(L28:N28),"")</x:f>
        <x:v>-0.228571</x:v>
      </x:c>
      <x:c r="P28" s="13" t="n">
        <x:v>2359686724.538286</x:v>
      </x:c>
      <x:c r="Q28" s="13" t="n">
        <x:v>2114426452.201897</x:v>
      </x:c>
      <x:c r="R28" s="13" t="n">
        <x:v>2306741672.290062</x:v>
      </x:c>
      <x:c r="S28" s="13" t="n">
        <x:f>IF(COUNT(P28:R28)=3,AVERAGE(P28:R28),"")</x:f>
        <x:v>2260284949.6767483</x:v>
      </x:c>
      <x:c r="T28" s="13" t="n">
        <x:v>1121.198513425182</x:v>
      </x:c>
      <x:c r="U28" s="13" t="n">
        <x:v>992.4918406784651</x:v>
      </x:c>
      <x:c r="V28" s="13" t="n">
        <x:v>1069.366732475424</x:v>
      </x:c>
      <x:c r="W28" s="13" t="n">
        <x:f>IF(COUNT(T28:V28)=3,AVERAGE(T28:V28),"")</x:f>
        <x:v>1061.0190288596905</x:v>
      </x:c>
      <x:c r="X28" s="12" t="n">
        <x:v>0</x:v>
      </x:c>
      <x:c r="Y28" s="12" t="n">
        <x:v>0</x:v>
      </x:c>
      <x:c r="Z28" s="12" t="n">
        <x:v>0</x:v>
      </x:c>
      <x:c r="AA28" s="12" t="n">
        <x:f>IF(COUNT(X28:Z28)=3,AVERAGE(X28:Z28),"")</x:f>
        <x:v>0</x:v>
      </x:c>
      <x:c r="AB28" s="12" t="n">
        <x:v>0</x:v>
      </x:c>
      <x:c r="AC28" s="12" t="n">
        <x:v>0</x:v>
      </x:c>
      <x:c r="AD28" s="12" t="n">
        <x:v>0</x:v>
      </x:c>
      <x:c r="AE28" s="12" t="n">
        <x:f>IF(COUNT(AB28:AD28)=3,AVERAGE(AB28:AD28),"")</x:f>
        <x:v>0</x:v>
      </x:c>
      <x:c r="AF28" s="12" t="n">
        <x:v>0</x:v>
      </x:c>
      <x:c r="AG28" s="12" t="n">
        <x:v>0</x:v>
      </x:c>
      <x:c r="AH28" s="12" t="n">
        <x:v>0</x:v>
      </x:c>
      <x:c r="AI28" s="12" t="n">
        <x:f>IF(COUNT(AF28:AH28)=3,AVERAGE(AF28:AH28),"")</x:f>
        <x:v>0</x:v>
      </x:c>
      <x:c r="AJ28" s="12" t="n">
        <x:f>IF(COUNT(X28,AB28,AF28)=3,SUM(X28,AB28,AF28),"")</x:f>
        <x:v>0</x:v>
      </x:c>
      <x:c r="AK28" s="12" t="n">
        <x:f>IF(COUNT(Y28,AC28,AG28)=3,SUM(Y28,AC28,AG28),"")</x:f>
        <x:v>0</x:v>
      </x:c>
      <x:c r="AL28" s="12" t="n">
        <x:f>IF(COUNT(Z28,AD28,AH28)=3,SUM(Z28,AD28,AH28),"")</x:f>
        <x:v>0</x:v>
      </x:c>
      <x:c r="AM28" s="12" t="n">
        <x:f>IF(COUNT(AJ28:AL28)=3,AVERAGE(AJ28:AL28),"")</x:f>
        <x:v>0</x:v>
      </x:c>
      <x:c r="AN28" s="11" t="n">
        <x:v>0</x:v>
      </x:c>
      <x:c r="AO28" s="11" t="n">
        <x:v>0</x:v>
      </x:c>
      <x:c r="AP28" s="11" t="n">
        <x:v>0</x:v>
      </x:c>
      <x:c r="AQ28" s="11" t="n">
        <x:v>0</x:v>
      </x:c>
      <x:c r="AR28" s="11" t="n">
        <x:v>0</x:v>
      </x:c>
      <x:c r="AS28" s="11" t="n">
        <x:v>0</x:v>
      </x:c>
      <x:c r="AT28" s="11" t="n">
        <x:v>0</x:v>
      </x:c>
      <x:c r="AU28" s="11" t="n">
        <x:v>0</x:v>
      </x:c>
      <x:c r="AV28" s="4" t="inlineStr">
        <x:is>
          <x:t xml:space="preserve"/>
        </x:is>
      </x:c>
      <x:c r="AW28" s="4" t="inlineStr">
        <x:is>
          <x:t xml:space="preserve">Complete for all raw variables in 2015–2017</x:t>
        </x:is>
      </x:c>
    </x:row>
    <x:row r="29">
      <x:c r="A29" s="11" t="inlineStr">
        <x:is>
          <x:t xml:space="preserve">Liberia</x:t>
        </x:is>
      </x:c>
      <x:c r="B29" s="11" t="inlineStr">
        <x:is>
          <x:t xml:space="preserve">利比里亚</x:t>
        </x:is>
      </x:c>
      <x:c r="C29" s="11" t="inlineStr">
        <x:is>
          <x:t xml:space="preserve">LBR</x:t>
        </x:is>
      </x:c>
      <x:c r="D29" s="11" t="inlineStr">
        <x:is>
          <x:t xml:space="preserve">Lagging</x:t>
        </x:is>
      </x:c>
      <x:c r="E29" s="4" t="inlineStr">
        <x:is>
          <x:t xml:space="preserve">Transition-Constrained Archetype</x:t>
        </x:is>
      </x:c>
      <x:c r="F29" s="4" t="inlineStr">
        <x:is>
          <x:t xml:space="preserve">Boundary-sensitive</x:t>
        </x:is>
      </x:c>
      <x:c r="G29" s="11" t="inlineStr">
        <x:is>
          <x:t xml:space="preserve">**</x:t>
        </x:is>
      </x:c>
      <x:c r="H29" s="12" t="n">
        <x:v>-1.2026737</x:v>
      </x:c>
      <x:c r="I29" s="12" t="n">
        <x:v>-1.1576727</x:v>
      </x:c>
      <x:c r="J29" s="12" t="n">
        <x:v>-1.1579163</x:v>
      </x:c>
      <x:c r="K29" s="12" t="n">
        <x:f>IF(COUNT(H29:J29)=3,AVERAGE(H29:J29),"")</x:f>
        <x:v>-1.1727542333333334</x:v>
      </x:c>
      <x:c r="L29" s="12" t="n">
        <x:v>-0.5851773</x:v>
      </x:c>
      <x:c r="M29" s="12" t="n">
        <x:v>-0.4531369</x:v>
      </x:c>
      <x:c r="N29" s="12" t="n">
        <x:v>-0.2701752</x:v>
      </x:c>
      <x:c r="O29" s="12" t="n">
        <x:f>IF(COUNT(L29:N29)=3,AVERAGE(L29:N29),"")</x:f>
        <x:v>-0.43616313333333334</x:v>
      </x:c>
      <x:c r="P29" s="13" t="n">
        <x:v>3227075700</x:v>
      </x:c>
      <x:c r="Q29" s="13" t="n">
        <x:v>3398419600</x:v>
      </x:c>
      <x:c r="R29" s="13" t="n">
        <x:v>3390703400</x:v>
      </x:c>
      <x:c r="S29" s="13" t="n">
        <x:f>IF(COUNT(P29:R29)=3,AVERAGE(P29:R29),"")</x:f>
        <x:v>3338732900</x:v>
      </x:c>
      <x:c r="T29" s="13" t="n">
        <x:v>692.590082351257</x:v>
      </x:c>
      <x:c r="U29" s="13" t="n">
        <x:v>714.6130631456588</x:v>
      </x:c>
      <x:c r="V29" s="13" t="n">
        <x:v>699.2690957274035</x:v>
      </x:c>
      <x:c r="W29" s="13" t="n">
        <x:f>IF(COUNT(T29:V29)=3,AVERAGE(T29:V29),"")</x:f>
        <x:v>702.1574137414397</x:v>
      </x:c>
      <x:c r="X29" s="12" t="n">
        <x:v>0</x:v>
      </x:c>
      <x:c r="Y29" s="12" t="n">
        <x:v>0</x:v>
      </x:c>
      <x:c r="Z29" s="12" t="n">
        <x:v>0</x:v>
      </x:c>
      <x:c r="AA29" s="12" t="n">
        <x:f>IF(COUNT(X29:Z29)=3,AVERAGE(X29:Z29),"")</x:f>
        <x:v>0</x:v>
      </x:c>
      <x:c r="AB29" s="12" t="n">
        <x:v>0</x:v>
      </x:c>
      <x:c r="AC29" s="12" t="n">
        <x:v>0</x:v>
      </x:c>
      <x:c r="AD29" s="12" t="n">
        <x:v>0</x:v>
      </x:c>
      <x:c r="AE29" s="12" t="n">
        <x:f>IF(COUNT(AB29:AD29)=3,AVERAGE(AB29:AD29),"")</x:f>
        <x:v>0</x:v>
      </x:c>
      <x:c r="AF29" s="12" t="n">
        <x:v>0</x:v>
      </x:c>
      <x:c r="AG29" s="12" t="n">
        <x:v>0</x:v>
      </x:c>
      <x:c r="AH29" s="12" t="n">
        <x:v>0</x:v>
      </x:c>
      <x:c r="AI29" s="12" t="n">
        <x:f>IF(COUNT(AF29:AH29)=3,AVERAGE(AF29:AH29),"")</x:f>
        <x:v>0</x:v>
      </x:c>
      <x:c r="AJ29" s="12" t="n">
        <x:f>IF(COUNT(X29,AB29,AF29)=3,SUM(X29,AB29,AF29),"")</x:f>
        <x:v>0</x:v>
      </x:c>
      <x:c r="AK29" s="12" t="n">
        <x:f>IF(COUNT(Y29,AC29,AG29)=3,SUM(Y29,AC29,AG29),"")</x:f>
        <x:v>0</x:v>
      </x:c>
      <x:c r="AL29" s="12" t="n">
        <x:f>IF(COUNT(Z29,AD29,AH29)=3,SUM(Z29,AD29,AH29),"")</x:f>
        <x:v>0</x:v>
      </x:c>
      <x:c r="AM29" s="12" t="n">
        <x:f>IF(COUNT(AJ29:AL29)=3,AVERAGE(AJ29:AL29),"")</x:f>
        <x:v>0</x:v>
      </x:c>
      <x:c r="AN29" s="11" t="n">
        <x:v>0</x:v>
      </x:c>
      <x:c r="AO29" s="11" t="n">
        <x:v>0</x:v>
      </x:c>
      <x:c r="AP29" s="11" t="n">
        <x:v>0</x:v>
      </x:c>
      <x:c r="AQ29" s="11" t="n">
        <x:v>0</x:v>
      </x:c>
      <x:c r="AR29" s="11" t="n">
        <x:v>0</x:v>
      </x:c>
      <x:c r="AS29" s="11" t="n">
        <x:v>0</x:v>
      </x:c>
      <x:c r="AT29" s="11" t="n">
        <x:v>0</x:v>
      </x:c>
      <x:c r="AU29" s="11" t="n">
        <x:v>0</x:v>
      </x:c>
      <x:c r="AV29" s="4" t="inlineStr">
        <x:is>
          <x:t xml:space="preserve"/>
        </x:is>
      </x:c>
      <x:c r="AW29" s="4" t="inlineStr">
        <x:is>
          <x:t xml:space="preserve">Complete for all raw variables in 2015–2017</x:t>
        </x:is>
      </x:c>
    </x:row>
    <x:row r="30">
      <x:c r="A30" s="11" t="inlineStr">
        <x:is>
          <x:t xml:space="preserve">Libya</x:t>
        </x:is>
      </x:c>
      <x:c r="B30" s="11" t="inlineStr">
        <x:is>
          <x:t xml:space="preserve">利比亚</x:t>
        </x:is>
      </x:c>
      <x:c r="C30" s="11" t="inlineStr">
        <x:is>
          <x:t xml:space="preserve">LBY</x:t>
        </x:is>
      </x:c>
      <x:c r="D30" s="11" t="inlineStr">
        <x:is>
          <x:t xml:space="preserve">Lagging</x:t>
        </x:is>
      </x:c>
      <x:c r="E30" s="4" t="inlineStr">
        <x:is>
          <x:t xml:space="preserve">Transition-Constrained Archetype</x:t>
        </x:is>
      </x:c>
      <x:c r="F30" s="4" t="inlineStr">
        <x:is>
          <x:t xml:space="preserve">High stability</x:t>
        </x:is>
      </x:c>
      <x:c r="G30" s="11" t="n"/>
      <x:c r="H30" s="12" t="n">
        <x:v>-1.6501127</x:v>
      </x:c>
      <x:c r="I30" s="12" t="n">
        <x:v>-1.666709</x:v>
      </x:c>
      <x:c r="J30" s="12" t="n">
        <x:v>-1.5287142</x:v>
      </x:c>
      <x:c r="K30" s="12" t="n">
        <x:f>IF(COUNT(H30:J30)=3,AVERAGE(H30:J30),"")</x:f>
        <x:v>-1.6151786333333333</x:v>
      </x:c>
      <x:c r="L30" s="12" t="n">
        <x:v>-2.2100778</x:v>
      </x:c>
      <x:c r="M30" s="12" t="n">
        <x:v>-2.2576529</x:v>
      </x:c>
      <x:c r="N30" s="12" t="n">
        <x:v>-2.2943152</x:v>
      </x:c>
      <x:c r="O30" s="12" t="n">
        <x:f>IF(COUNT(L30:N30)=3,AVERAGE(L30:N30),"")</x:f>
        <x:v>-2.2540153000000003</x:v>
      </x:c>
      <x:c r="P30" s="13" t="n">
        <x:v>48717501321.30524</x:v>
      </x:c>
      <x:c r="Q30" s="13" t="n">
        <x:v>49912073701.298</x:v>
      </x:c>
      <x:c r="R30" s="13" t="n">
        <x:v>67157452181.77383</x:v>
      </x:c>
      <x:c r="S30" s="13" t="n">
        <x:f>IF(COUNT(P30:R30)=3,AVERAGE(P30:R30),"")</x:f>
        <x:v>55262342401.45902</x:v>
      </x:c>
      <x:c r="T30" s="13" t="n">
        <x:v>7458.489177563744</x:v>
      </x:c>
      <x:c r="U30" s="13" t="n">
        <x:v>7525.802993082159</x:v>
      </x:c>
      <x:c r="V30" s="13" t="n">
        <x:v>9965.832367297568</x:v>
      </x:c>
      <x:c r="W30" s="13" t="n">
        <x:f>IF(COUNT(T30:V30)=3,AVERAGE(T30:V30),"")</x:f>
        <x:v>8316.70817931449</x:v>
      </x:c>
      <x:c r="X30" s="12" t="n">
        <x:v>14.4264442000075</x:v>
      </x:c>
      <x:c r="Y30" s="12" t="n">
        <x:v>10.7931417666286</x:v>
      </x:c>
      <x:c r="Z30" s="12" t="n">
        <x:v>20.9466167504799</x:v>
      </x:c>
      <x:c r="AA30" s="12" t="n">
        <x:f>IF(COUNT(X30:Z30)=3,AVERAGE(X30:Z30),"")</x:f>
        <x:v>15.388734239038667</x:v>
      </x:c>
      <x:c r="AB30" s="12" t="n">
        <x:v>1.86281114357274</x:v>
      </x:c>
      <x:c r="AC30" s="12" t="n">
        <x:v>1.37802629270615</x:v>
      </x:c>
      <x:c r="AD30" s="12" t="n">
        <x:v>1.13858543021991</x:v>
      </x:c>
      <x:c r="AE30" s="12" t="n">
        <x:f>IF(COUNT(AB30:AD30)=3,AVERAGE(AB30:AD30),"")</x:f>
        <x:v>1.4598076221662666</x:v>
      </x:c>
      <x:c r="AF30" s="12" t="n">
        <x:v>0</x:v>
      </x:c>
      <x:c r="AG30" s="12" t="n">
        <x:v>0</x:v>
      </x:c>
      <x:c r="AH30" s="12" t="n">
        <x:v>0</x:v>
      </x:c>
      <x:c r="AI30" s="12" t="n">
        <x:f>IF(COUNT(AF30:AH30)=3,AVERAGE(AF30:AH30),"")</x:f>
        <x:v>0</x:v>
      </x:c>
      <x:c r="AJ30" s="12" t="n">
        <x:f>IF(COUNT(X30,AB30,AF30)=3,SUM(X30,AB30,AF30),"")</x:f>
        <x:v>16.28925534358024</x:v>
      </x:c>
      <x:c r="AK30" s="12" t="n">
        <x:f>IF(COUNT(Y30,AC30,AG30)=3,SUM(Y30,AC30,AG30),"")</x:f>
        <x:v>12.171168059334748</x:v>
      </x:c>
      <x:c r="AL30" s="12" t="n">
        <x:f>IF(COUNT(Z30,AD30,AH30)=3,SUM(Z30,AD30,AH30),"")</x:f>
        <x:v>22.08520218069981</x:v>
      </x:c>
      <x:c r="AM30" s="12" t="n">
        <x:f>IF(COUNT(AJ30:AL30)=3,AVERAGE(AJ30:AL30),"")</x:f>
        <x:v>16.848541861204932</x:v>
      </x:c>
      <x:c r="AN30" s="11" t="n">
        <x:v>0</x:v>
      </x:c>
      <x:c r="AO30" s="11" t="n">
        <x:v>0</x:v>
      </x:c>
      <x:c r="AP30" s="11" t="n">
        <x:v>0</x:v>
      </x:c>
      <x:c r="AQ30" s="11" t="n">
        <x:v>0</x:v>
      </x:c>
      <x:c r="AR30" s="11" t="n">
        <x:v>0</x:v>
      </x:c>
      <x:c r="AS30" s="11" t="n">
        <x:v>0</x:v>
      </x:c>
      <x:c r="AT30" s="11" t="n">
        <x:v>0</x:v>
      </x:c>
      <x:c r="AU30" s="11" t="n">
        <x:v>0</x:v>
      </x:c>
      <x:c r="AV30" s="4" t="inlineStr">
        <x:is>
          <x:t xml:space="preserve"/>
        </x:is>
      </x:c>
      <x:c r="AW30" s="4" t="inlineStr">
        <x:is>
          <x:t xml:space="preserve">Complete for all raw variables in 2015–2017</x:t>
        </x:is>
      </x:c>
    </x:row>
    <x:row r="31">
      <x:c r="A31" s="11" t="inlineStr">
        <x:is>
          <x:t xml:space="preserve">Madagascar</x:t>
        </x:is>
      </x:c>
      <x:c r="B31" s="11" t="inlineStr">
        <x:is>
          <x:t xml:space="preserve">马达加斯加</x:t>
        </x:is>
      </x:c>
      <x:c r="C31" s="11" t="inlineStr">
        <x:is>
          <x:t xml:space="preserve">MDG</x:t>
        </x:is>
      </x:c>
      <x:c r="D31" s="11" t="inlineStr">
        <x:is>
          <x:t xml:space="preserve">Lagging</x:t>
        </x:is>
      </x:c>
      <x:c r="E31" s="4" t="inlineStr">
        <x:is>
          <x:t xml:space="preserve">Transition-Constrained Archetype</x:t>
        </x:is>
      </x:c>
      <x:c r="F31" s="4" t="inlineStr">
        <x:is>
          <x:t xml:space="preserve">Moderate stability</x:t>
        </x:is>
      </x:c>
      <x:c r="G31" s="11" t="n"/>
      <x:c r="H31" s="12" t="n">
        <x:v>-0.9995333999999999</x:v>
      </x:c>
      <x:c r="I31" s="12" t="n">
        <x:v>-0.8355650999999999</x:v>
      </x:c>
      <x:c r="J31" s="12" t="n">
        <x:v>-0.819978</x:v>
      </x:c>
      <x:c r="K31" s="12" t="n">
        <x:f>IF(COUNT(H31:J31)=3,AVERAGE(H31:J31),"")</x:f>
        <x:v>-0.8850254999999999</x:v>
      </x:c>
      <x:c r="L31" s="12" t="n">
        <x:v>-0.5263576999999999</x:v>
      </x:c>
      <x:c r="M31" s="12" t="n">
        <x:v>-0.4661162</x:v>
      </x:c>
      <x:c r="N31" s="12" t="n">
        <x:v>-0.5350161999999999</x:v>
      </x:c>
      <x:c r="O31" s="12" t="n">
        <x:f>IF(COUNT(L31:N31)=3,AVERAGE(L31:N31),"")</x:f>
        <x:v>-0.5091633666666666</x:v>
      </x:c>
      <x:c r="P31" s="13" t="n">
        <x:v>11323020701.30169</x:v>
      </x:c>
      <x:c r="Q31" s="13" t="n">
        <x:v>11848613858.442</x:v>
      </x:c>
      <x:c r="R31" s="13" t="n">
        <x:v>13176313593.55093</x:v>
      </x:c>
      <x:c r="S31" s="13" t="n">
        <x:f>IF(COUNT(P31:R31)=3,AVERAGE(P31:R31),"")</x:f>
        <x:v>12115982717.764872</x:v>
      </x:c>
      <x:c r="T31" s="13" t="n">
        <x:v>445.3200694805676</x:v>
      </x:c>
      <x:c r="U31" s="13" t="n">
        <x:v>453.9707145224634</x:v>
      </x:c>
      <x:c r="V31" s="13" t="n">
        <x:v>491.8668487189288</x:v>
      </x:c>
      <x:c r="W31" s="13" t="n">
        <x:f>IF(COUNT(T31:V31)=3,AVERAGE(T31:V31),"")</x:f>
        <x:v>463.7192109073199</x:v>
      </x:c>
      <x:c r="X31" s="12" t="n">
        <x:v>0.065733337532039</x:v>
      </x:c>
      <x:c r="Y31" s="12" t="n">
        <x:v>0.058311086080069</x:v>
      </x:c>
      <x:c r="Z31" s="12" t="n">
        <x:v>0.0955254362506415</x:v>
      </x:c>
      <x:c r="AA31" s="12" t="n">
        <x:f>IF(COUNT(X31:Z31)=3,AVERAGE(X31:Z31),"")</x:f>
        <x:v>0.07318995328758317</x:v>
      </x:c>
      <x:c r="AB31" s="12" t="n">
        <x:v>0</x:v>
      </x:c>
      <x:c r="AC31" s="12" t="n">
        <x:v>0</x:v>
      </x:c>
      <x:c r="AD31" s="12" t="n">
        <x:v>0</x:v>
      </x:c>
      <x:c r="AE31" s="12" t="n">
        <x:f>IF(COUNT(AB31:AD31)=3,AVERAGE(AB31:AD31),"")</x:f>
        <x:v>0</x:v>
      </x:c>
      <x:c r="AF31" s="12" t="n">
        <x:v>0.000163962299589566</x:v>
      </x:c>
      <x:c r="AG31" s="12" t="n">
        <x:v>0.000131585329685599</x:v>
      </x:c>
      <x:c r="AH31" s="12" t="n">
        <x:v>7.3058283026749e-06</x:v>
      </x:c>
      <x:c r="AI31" s="12" t="n">
        <x:f>IF(COUNT(AF31:AH31)=3,AVERAGE(AF31:AH31),"")</x:f>
        <x:v>0.00010095115252594664</x:v>
      </x:c>
      <x:c r="AJ31" s="12" t="n">
        <x:f>IF(COUNT(X31,AB31,AF31)=3,SUM(X31,AB31,AF31),"")</x:f>
        <x:v>0.06589729983162856</x:v>
      </x:c>
      <x:c r="AK31" s="12" t="n">
        <x:f>IF(COUNT(Y31,AC31,AG31)=3,SUM(Y31,AC31,AG31),"")</x:f>
        <x:v>0.0584426714097546</x:v>
      </x:c>
      <x:c r="AL31" s="12" t="n">
        <x:f>IF(COUNT(Z31,AD31,AH31)=3,SUM(Z31,AD31,AH31),"")</x:f>
        <x:v>0.09553274207894417</x:v>
      </x:c>
      <x:c r="AM31" s="12" t="n">
        <x:f>IF(COUNT(AJ31:AL31)=3,AVERAGE(AJ31:AL31),"")</x:f>
        <x:v>0.0732909044401091</x:v>
      </x:c>
      <x:c r="AN31" s="11" t="n">
        <x:v>0</x:v>
      </x:c>
      <x:c r="AO31" s="11" t="n">
        <x:v>0</x:v>
      </x:c>
      <x:c r="AP31" s="11" t="n">
        <x:v>0</x:v>
      </x:c>
      <x:c r="AQ31" s="11" t="n">
        <x:v>0</x:v>
      </x:c>
      <x:c r="AR31" s="11" t="n">
        <x:v>0</x:v>
      </x:c>
      <x:c r="AS31" s="11" t="n">
        <x:v>0</x:v>
      </x:c>
      <x:c r="AT31" s="11" t="n">
        <x:v>0</x:v>
      </x:c>
      <x:c r="AU31" s="11" t="n">
        <x:v>0</x:v>
      </x:c>
      <x:c r="AV31" s="4" t="inlineStr">
        <x:is>
          <x:t xml:space="preserve"/>
        </x:is>
      </x:c>
      <x:c r="AW31" s="4" t="inlineStr">
        <x:is>
          <x:t xml:space="preserve">Complete for all raw variables in 2015–2017</x:t>
        </x:is>
      </x:c>
    </x:row>
    <x:row r="32">
      <x:c r="A32" s="11" t="inlineStr">
        <x:is>
          <x:t xml:space="preserve">Malawi</x:t>
        </x:is>
      </x:c>
      <x:c r="B32" s="11" t="inlineStr">
        <x:is>
          <x:t xml:space="preserve">马拉维</x:t>
        </x:is>
      </x:c>
      <x:c r="C32" s="11" t="inlineStr">
        <x:is>
          <x:t xml:space="preserve">MWI</x:t>
        </x:is>
      </x:c>
      <x:c r="D32" s="11" t="inlineStr">
        <x:is>
          <x:t xml:space="preserve">Lagging</x:t>
        </x:is>
      </x:c>
      <x:c r="E32" s="4" t="inlineStr">
        <x:is>
          <x:t xml:space="preserve">Transition-Constrained Archetype</x:t>
        </x:is>
      </x:c>
      <x:c r="F32" s="4" t="inlineStr">
        <x:is>
          <x:t xml:space="preserve">High stability</x:t>
        </x:is>
      </x:c>
      <x:c r="G32" s="11" t="n"/>
      <x:c r="H32" s="12" t="n">
        <x:v>-0.5855030999999999</x:v>
      </x:c>
      <x:c r="I32" s="12" t="n">
        <x:v>-0.6089526</x:v>
      </x:c>
      <x:c r="J32" s="12" t="n">
        <x:v>-0.5782225</x:v>
      </x:c>
      <x:c r="K32" s="12" t="n">
        <x:f>IF(COUNT(H32:J32)=3,AVERAGE(H32:J32),"")</x:f>
        <x:v>-0.5908927333333333</x:v>
      </x:c>
      <x:c r="L32" s="12" t="n">
        <x:v>-0.0522558</x:v>
      </x:c>
      <x:c r="M32" s="12" t="n">
        <x:v>-0.2578002</x:v>
      </x:c>
      <x:c r="N32" s="12" t="n">
        <x:v>-0.3130009</x:v>
      </x:c>
      <x:c r="O32" s="12" t="n">
        <x:f>IF(COUNT(L32:N32)=3,AVERAGE(L32:N32),"")</x:f>
        <x:v>-0.20768563333333334</x:v>
      </x:c>
      <x:c r="P32" s="13" t="n">
        <x:v>9219474379.315342</x:v>
      </x:c>
      <x:c r="Q32" s="13" t="n">
        <x:v>7909868618.46366</x:v>
      </x:c>
      <x:c r="R32" s="13" t="n">
        <x:v>8943543793.583902</x:v>
      </x:c>
      <x:c r="S32" s="13" t="n">
        <x:f>IF(COUNT(P32:R32)=3,AVERAGE(P32:R32),"")</x:f>
        <x:v>8690962263.787636</x:v>
      </x:c>
      <x:c r="T32" s="13" t="n">
        <x:v>539.605363240686</x:v>
      </x:c>
      <x:c r="U32" s="13" t="n">
        <x:v>450.5061055107187</x:v>
      </x:c>
      <x:c r="V32" s="13" t="n">
        <x:v>495.7696833671653</x:v>
      </x:c>
      <x:c r="W32" s="13" t="n">
        <x:f>IF(COUNT(T32:V32)=3,AVERAGE(T32:V32),"")</x:f>
        <x:v>495.2937173728567</x:v>
      </x:c>
      <x:c r="X32" s="12" t="n">
        <x:v>0.0421572569811812</x:v>
      </x:c>
      <x:c r="Y32" s="12" t="n">
        <x:v>0.0544029137872334</x:v>
      </x:c>
      <x:c r="Z32" s="12" t="n">
        <x:v>0</x:v>
      </x:c>
      <x:c r="AA32" s="12" t="n">
        <x:f>IF(COUNT(X32:Z32)=3,AVERAGE(X32:Z32),"")</x:f>
        <x:v>0.032186723589471535</x:v>
      </x:c>
      <x:c r="AB32" s="12" t="n">
        <x:v>0</x:v>
      </x:c>
      <x:c r="AC32" s="12" t="n">
        <x:v>0</x:v>
      </x:c>
      <x:c r="AD32" s="12" t="n">
        <x:v>0</x:v>
      </x:c>
      <x:c r="AE32" s="12" t="n">
        <x:f>IF(COUNT(AB32:AD32)=3,AVERAGE(AB32:AD32),"")</x:f>
        <x:v>0</x:v>
      </x:c>
      <x:c r="AF32" s="12" t="n">
        <x:v>0.0184546431382984</x:v>
      </x:c>
      <x:c r="AG32" s="12" t="n">
        <x:v>0.0179067532663158</x:v>
      </x:c>
      <x:c r="AH32" s="12" t="n">
        <x:v>0.0201542594156459</x:v>
      </x:c>
      <x:c r="AI32" s="12" t="n">
        <x:f>IF(COUNT(AF32:AH32)=3,AVERAGE(AF32:AH32),"")</x:f>
        <x:v>0.0188385519400867</x:v>
      </x:c>
      <x:c r="AJ32" s="12" t="n">
        <x:f>IF(COUNT(X32,AB32,AF32)=3,SUM(X32,AB32,AF32),"")</x:f>
        <x:v>0.0606119001194796</x:v>
      </x:c>
      <x:c r="AK32" s="12" t="n">
        <x:f>IF(COUNT(Y32,AC32,AG32)=3,SUM(Y32,AC32,AG32),"")</x:f>
        <x:v>0.0723096670535492</x:v>
      </x:c>
      <x:c r="AL32" s="12" t="n">
        <x:f>IF(COUNT(Z32,AD32,AH32)=3,SUM(Z32,AD32,AH32),"")</x:f>
        <x:v>0.0201542594156459</x:v>
      </x:c>
      <x:c r="AM32" s="12" t="n">
        <x:f>IF(COUNT(AJ32:AL32)=3,AVERAGE(AJ32:AL32),"")</x:f>
        <x:v>0.05102527552955823</x:v>
      </x:c>
      <x:c r="AN32" s="11" t="n">
        <x:v>0</x:v>
      </x:c>
      <x:c r="AO32" s="11" t="n">
        <x:v>0</x:v>
      </x:c>
      <x:c r="AP32" s="11" t="n">
        <x:v>0</x:v>
      </x:c>
      <x:c r="AQ32" s="11" t="n">
        <x:v>0</x:v>
      </x:c>
      <x:c r="AR32" s="11" t="n">
        <x:v>0</x:v>
      </x:c>
      <x:c r="AS32" s="11" t="n">
        <x:v>0</x:v>
      </x:c>
      <x:c r="AT32" s="11" t="n">
        <x:v>0</x:v>
      </x:c>
      <x:c r="AU32" s="11" t="n">
        <x:v>0</x:v>
      </x:c>
      <x:c r="AV32" s="4" t="inlineStr">
        <x:is>
          <x:t xml:space="preserve"/>
        </x:is>
      </x:c>
      <x:c r="AW32" s="4" t="inlineStr">
        <x:is>
          <x:t xml:space="preserve">Complete for all raw variables in 2015–2017</x:t>
        </x:is>
      </x:c>
    </x:row>
    <x:row r="33">
      <x:c r="A33" s="11" t="inlineStr">
        <x:is>
          <x:t xml:space="preserve">Mali</x:t>
        </x:is>
      </x:c>
      <x:c r="B33" s="11" t="inlineStr">
        <x:is>
          <x:t xml:space="preserve">马里</x:t>
        </x:is>
      </x:c>
      <x:c r="C33" s="11" t="inlineStr">
        <x:is>
          <x:t xml:space="preserve">MLI</x:t>
        </x:is>
      </x:c>
      <x:c r="D33" s="11" t="inlineStr">
        <x:is>
          <x:t xml:space="preserve">Balancing</x:t>
        </x:is>
      </x:c>
      <x:c r="E33" s="4" t="inlineStr">
        <x:is>
          <x:t xml:space="preserve">System-Deepening Archetype</x:t>
        </x:is>
      </x:c>
      <x:c r="F33" s="4" t="inlineStr">
        <x:is>
          <x:t xml:space="preserve">High stability</x:t>
        </x:is>
      </x:c>
      <x:c r="G33" s="11" t="n"/>
      <x:c r="H33" s="12" t="n">
        <x:v>-0.9383383999999999</x:v>
      </x:c>
      <x:c r="I33" s="12" t="n">
        <x:v>-0.9296139999999999</x:v>
      </x:c>
      <x:c r="J33" s="12" t="n">
        <x:v>-0.8719878999999999</x:v>
      </x:c>
      <x:c r="K33" s="12" t="n">
        <x:f>IF(COUNT(H33:J33)=3,AVERAGE(H33:J33),"")</x:f>
        <x:v>-0.9133134333333333</x:v>
      </x:c>
      <x:c r="L33" s="12" t="n">
        <x:v>-1.5535933</x:v>
      </x:c>
      <x:c r="M33" s="12" t="n">
        <x:v>-1.5338819</x:v>
      </x:c>
      <x:c r="N33" s="12" t="n">
        <x:v>-1.7186414</x:v>
      </x:c>
      <x:c r="O33" s="12" t="n">
        <x:f>IF(COUNT(L33:N33)=3,AVERAGE(L33:N33),"")</x:f>
        <x:v>-1.6020388666666667</x:v>
      </x:c>
      <x:c r="P33" s="13" t="n">
        <x:v>15583181170.41047</x:v>
      </x:c>
      <x:c r="Q33" s="13" t="n">
        <x:v>16743796799.83289</x:v>
      </x:c>
      <x:c r="R33" s="13" t="n">
        <x:v>18308362040.05206</x:v>
      </x:c>
      <x:c r="S33" s="13" t="n">
        <x:f>IF(COUNT(P33:R33)=3,AVERAGE(P33:R33),"")</x:f>
        <x:v>16878446670.098473</x:v>
      </x:c>
      <x:c r="T33" s="13" t="n">
        <x:v>838.1198694010295</x:v>
      </x:c>
      <x:c r="U33" s="13" t="n">
        <x:v>872.4685871716532</x:v>
      </x:c>
      <x:c r="V33" s="13" t="n">
        <x:v>924.0575316922835</x:v>
      </x:c>
      <x:c r="W33" s="13" t="n">
        <x:f>IF(COUNT(T33:V33)=3,AVERAGE(T33:V33),"")</x:f>
        <x:v>878.2153294216555</x:v>
      </x:c>
      <x:c r="X33" s="12" t="n">
        <x:v>0</x:v>
      </x:c>
      <x:c r="Y33" s="12" t="n">
        <x:v>0</x:v>
      </x:c>
      <x:c r="Z33" s="12" t="n">
        <x:v>0</x:v>
      </x:c>
      <x:c r="AA33" s="12" t="n">
        <x:f>IF(COUNT(X33:Z33)=3,AVERAGE(X33:Z33),"")</x:f>
        <x:v>0</x:v>
      </x:c>
      <x:c r="AB33" s="12" t="n">
        <x:v>0</x:v>
      </x:c>
      <x:c r="AC33" s="12" t="n">
        <x:v>0</x:v>
      </x:c>
      <x:c r="AD33" s="12" t="n">
        <x:v>0</x:v>
      </x:c>
      <x:c r="AE33" s="12" t="n">
        <x:f>IF(COUNT(AB33:AD33)=3,AVERAGE(AB33:AD33),"")</x:f>
        <x:v>0</x:v>
      </x:c>
      <x:c r="AF33" s="12" t="n">
        <x:v>0</x:v>
      </x:c>
      <x:c r="AG33" s="12" t="n">
        <x:v>0</x:v>
      </x:c>
      <x:c r="AH33" s="12" t="n">
        <x:v>0</x:v>
      </x:c>
      <x:c r="AI33" s="12" t="n">
        <x:f>IF(COUNT(AF33:AH33)=3,AVERAGE(AF33:AH33),"")</x:f>
        <x:v>0</x:v>
      </x:c>
      <x:c r="AJ33" s="12" t="n">
        <x:f>IF(COUNT(X33,AB33,AF33)=3,SUM(X33,AB33,AF33),"")</x:f>
        <x:v>0</x:v>
      </x:c>
      <x:c r="AK33" s="12" t="n">
        <x:f>IF(COUNT(Y33,AC33,AG33)=3,SUM(Y33,AC33,AG33),"")</x:f>
        <x:v>0</x:v>
      </x:c>
      <x:c r="AL33" s="12" t="n">
        <x:f>IF(COUNT(Z33,AD33,AH33)=3,SUM(Z33,AD33,AH33),"")</x:f>
        <x:v>0</x:v>
      </x:c>
      <x:c r="AM33" s="12" t="n">
        <x:f>IF(COUNT(AJ33:AL33)=3,AVERAGE(AJ33:AL33),"")</x:f>
        <x:v>0</x:v>
      </x:c>
      <x:c r="AN33" s="11" t="n">
        <x:v>0</x:v>
      </x:c>
      <x:c r="AO33" s="11" t="n">
        <x:v>0</x:v>
      </x:c>
      <x:c r="AP33" s="11" t="n">
        <x:v>0</x:v>
      </x:c>
      <x:c r="AQ33" s="11" t="n">
        <x:v>0</x:v>
      </x:c>
      <x:c r="AR33" s="11" t="n">
        <x:v>0</x:v>
      </x:c>
      <x:c r="AS33" s="11" t="n">
        <x:v>0</x:v>
      </x:c>
      <x:c r="AT33" s="11" t="n">
        <x:v>0</x:v>
      </x:c>
      <x:c r="AU33" s="11" t="n">
        <x:v>0</x:v>
      </x:c>
      <x:c r="AV33" s="4" t="inlineStr">
        <x:is>
          <x:t xml:space="preserve"/>
        </x:is>
      </x:c>
      <x:c r="AW33" s="4" t="inlineStr">
        <x:is>
          <x:t xml:space="preserve">Complete for all raw variables in 2015–2017</x:t>
        </x:is>
      </x:c>
    </x:row>
    <x:row r="34">
      <x:c r="A34" s="11" t="inlineStr">
        <x:is>
          <x:t xml:space="preserve">Mauritania</x:t>
        </x:is>
      </x:c>
      <x:c r="B34" s="11" t="inlineStr">
        <x:is>
          <x:t xml:space="preserve">毛里塔尼亚</x:t>
        </x:is>
      </x:c>
      <x:c r="C34" s="11" t="inlineStr">
        <x:is>
          <x:t xml:space="preserve">MRT</x:t>
        </x:is>
      </x:c>
      <x:c r="D34" s="11" t="inlineStr">
        <x:is>
          <x:t xml:space="preserve">Lagging</x:t>
        </x:is>
      </x:c>
      <x:c r="E34" s="4" t="inlineStr">
        <x:is>
          <x:t xml:space="preserve">Transition-Constrained Archetype</x:t>
        </x:is>
      </x:c>
      <x:c r="F34" s="4" t="inlineStr">
        <x:is>
          <x:t xml:space="preserve">Boundary-sensitive</x:t>
        </x:is>
      </x:c>
      <x:c r="G34" s="11" t="inlineStr">
        <x:is>
          <x:t xml:space="preserve">**</x:t>
        </x:is>
      </x:c>
      <x:c r="H34" s="12" t="n">
        <x:v>-0.9313712</x:v>
      </x:c>
      <x:c r="I34" s="12" t="n">
        <x:v>-0.8954384999999999</x:v>
      </x:c>
      <x:c r="J34" s="12" t="n">
        <x:v>-0.8206663</x:v>
      </x:c>
      <x:c r="K34" s="12" t="n">
        <x:f>IF(COUNT(H34:J34)=3,AVERAGE(H34:J34),"")</x:f>
        <x:v>-0.8824919999999999</x:v>
      </x:c>
      <x:c r="L34" s="12" t="n">
        <x:v>-0.7765101999999999</x:v>
      </x:c>
      <x:c r="M34" s="12" t="n">
        <x:v>-0.9065538</x:v>
      </x:c>
      <x:c r="N34" s="12" t="n">
        <x:v>-0.7637872999999999</x:v>
      </x:c>
      <x:c r="O34" s="12" t="n">
        <x:f>IF(COUNT(L34:N34)=3,AVERAGE(L34:N34),"")</x:f>
        <x:v>-0.8156170999999999</x:v>
      </x:c>
      <x:c r="P34" s="13" t="n">
        <x:v>6182303676.551437</x:v>
      </x:c>
      <x:c r="Q34" s="13" t="n">
        <x:v>6407900701.258286</x:v>
      </x:c>
      <x:c r="R34" s="13" t="n">
        <x:v>6812472965.338677</x:v>
      </x:c>
      <x:c r="S34" s="13" t="n">
        <x:f>IF(COUNT(P34:R34)=3,AVERAGE(P34:R34),"")</x:f>
        <x:v>6467559114.3828</x:v>
      </x:c>
      <x:c r="T34" s="13" t="n">
        <x:v>1558.842054734161</x:v>
      </x:c>
      <x:c r="U34" s="13" t="n">
        <x:v>1568.00551190332</x:v>
      </x:c>
      <x:c r="V34" s="13" t="n">
        <x:v>1617.934015422666</x:v>
      </x:c>
      <x:c r="W34" s="13" t="n">
        <x:f>IF(COUNT(T34:V34)=3,AVERAGE(T34:V34),"")</x:f>
        <x:v>1581.5938606867155</x:v>
      </x:c>
      <x:c r="X34" s="12" t="n">
        <x:v>0.513819837621705</x:v>
      </x:c>
      <x:c r="Y34" s="12" t="n">
        <x:v>0.407544888538057</x:v>
      </x:c>
      <x:c r="Z34" s="12" t="n">
        <x:v>0.541318938190263</x:v>
      </x:c>
      <x:c r="AA34" s="12" t="n">
        <x:f>IF(COUNT(X34:Z34)=3,AVERAGE(X34:Z34),"")</x:f>
        <x:v>0.4875612214500083</x:v>
      </x:c>
      <x:c r="AB34" s="12" t="n">
        <x:v>0</x:v>
      </x:c>
      <x:c r="AC34" s="12" t="n">
        <x:v>0</x:v>
      </x:c>
      <x:c r="AD34" s="12" t="n">
        <x:v>0</x:v>
      </x:c>
      <x:c r="AE34" s="12" t="n">
        <x:f>IF(COUNT(AB34:AD34)=3,AVERAGE(AB34:AD34),"")</x:f>
        <x:v>0</x:v>
      </x:c>
      <x:c r="AF34" s="12" t="n">
        <x:v>1.02486804494166</x:v>
      </x:c>
      <x:c r="AG34" s="12" t="n">
        <x:v>0.920132418687253</x:v>
      </x:c>
      <x:c r="AH34" s="12" t="n">
        <x:v>1.25601532337934</x:v>
      </x:c>
      <x:c r="AI34" s="12" t="n">
        <x:f>IF(COUNT(AF34:AH34)=3,AVERAGE(AF34:AH34),"")</x:f>
        <x:v>1.0670052623360844</x:v>
      </x:c>
      <x:c r="AJ34" s="12" t="n">
        <x:f>IF(COUNT(X34,AB34,AF34)=3,SUM(X34,AB34,AF34),"")</x:f>
        <x:v>1.538687882563365</x:v>
      </x:c>
      <x:c r="AK34" s="12" t="n">
        <x:f>IF(COUNT(Y34,AC34,AG34)=3,SUM(Y34,AC34,AG34),"")</x:f>
        <x:v>1.32767730722531</x:v>
      </x:c>
      <x:c r="AL34" s="12" t="n">
        <x:f>IF(COUNT(Z34,AD34,AH34)=3,SUM(Z34,AD34,AH34),"")</x:f>
        <x:v>1.797334261569603</x:v>
      </x:c>
      <x:c r="AM34" s="12" t="n">
        <x:f>IF(COUNT(AJ34:AL34)=3,AVERAGE(AJ34:AL34),"")</x:f>
        <x:v>1.5545664837860926</x:v>
      </x:c>
      <x:c r="AN34" s="11" t="n">
        <x:v>0</x:v>
      </x:c>
      <x:c r="AO34" s="11" t="n">
        <x:v>0</x:v>
      </x:c>
      <x:c r="AP34" s="11" t="n">
        <x:v>0</x:v>
      </x:c>
      <x:c r="AQ34" s="11" t="n">
        <x:v>0</x:v>
      </x:c>
      <x:c r="AR34" s="11" t="n">
        <x:v>0</x:v>
      </x:c>
      <x:c r="AS34" s="11" t="n">
        <x:v>0</x:v>
      </x:c>
      <x:c r="AT34" s="11" t="n">
        <x:v>0</x:v>
      </x:c>
      <x:c r="AU34" s="11" t="n">
        <x:v>0</x:v>
      </x:c>
      <x:c r="AV34" s="4" t="inlineStr">
        <x:is>
          <x:t xml:space="preserve"/>
        </x:is>
      </x:c>
      <x:c r="AW34" s="4" t="inlineStr">
        <x:is>
          <x:t xml:space="preserve">Complete for all raw variables in 2015–2017</x:t>
        </x:is>
      </x:c>
    </x:row>
    <x:row r="35">
      <x:c r="A35" s="11" t="inlineStr">
        <x:is>
          <x:t xml:space="preserve">Mauritius</x:t>
        </x:is>
      </x:c>
      <x:c r="B35" s="11" t="inlineStr">
        <x:is>
          <x:t xml:space="preserve">毛里求斯</x:t>
        </x:is>
      </x:c>
      <x:c r="C35" s="11" t="inlineStr">
        <x:is>
          <x:t xml:space="preserve">MUS</x:t>
        </x:is>
      </x:c>
      <x:c r="D35" s="11" t="inlineStr">
        <x:is>
          <x:t xml:space="preserve">Lagging</x:t>
        </x:is>
      </x:c>
      <x:c r="E35" s="4" t="inlineStr">
        <x:is>
          <x:t xml:space="preserve">Transition-Constrained Archetype</x:t>
        </x:is>
      </x:c>
      <x:c r="F35" s="4" t="inlineStr">
        <x:is>
          <x:t xml:space="preserve">Boundary-sensitive</x:t>
        </x:is>
      </x:c>
      <x:c r="G35" s="11" t="inlineStr">
        <x:is>
          <x:t xml:space="preserve">**</x:t>
        </x:is>
      </x:c>
      <x:c r="H35" s="12" t="n">
        <x:v>1.0592368</x:v>
      </x:c>
      <x:c r="I35" s="12" t="n">
        <x:v>1.1005388</x:v>
      </x:c>
      <x:c r="J35" s="12" t="n">
        <x:v>1.0288458</x:v>
      </x:c>
      <x:c r="K35" s="12" t="n">
        <x:f>IF(COUNT(H35:J35)=3,AVERAGE(H35:J35),"")</x:f>
        <x:v>1.0628738</x:v>
      </x:c>
      <x:c r="L35" s="12" t="n">
        <x:v>1.0248107</x:v>
      </x:c>
      <x:c r="M35" s="12" t="n">
        <x:v>1.0313567</x:v>
      </x:c>
      <x:c r="N35" s="12" t="n">
        <x:v>1.0144918</x:v>
      </x:c>
      <x:c r="O35" s="12" t="n">
        <x:f>IF(COUNT(L35:N35)=3,AVERAGE(L35:N35),"")</x:f>
        <x:v>1.0235530666666666</x:v>
      </x:c>
      <x:c r="P35" s="13" t="n">
        <x:v>12162211503.0793</x:v>
      </x:c>
      <x:c r="Q35" s="13" t="n">
        <x:v>12757680846.56629</x:v>
      </x:c>
      <x:c r="R35" s="13" t="n">
        <x:v>13896938315.27993</x:v>
      </x:c>
      <x:c r="S35" s="13" t="n">
        <x:f>IF(COUNT(P35:R35)=3,AVERAGE(P35:R35),"")</x:f>
        <x:v>12938943554.975174</x:v>
      </x:c>
      <x:c r="T35" s="13" t="n">
        <x:v>9630.543783750698</x:v>
      </x:c>
      <x:c r="U35" s="13" t="n">
        <x:v>10095.1225574156</x:v>
      </x:c>
      <x:c r="V35" s="13" t="n">
        <x:v>10986.70340930054</x:v>
      </x:c>
      <x:c r="W35" s="13" t="n">
        <x:f>IF(COUNT(T35:V35)=3,AVERAGE(T35:V35),"")</x:f>
        <x:v>10237.456583488945</x:v>
      </x:c>
      <x:c r="X35" s="12" t="n">
        <x:v>0.0268410183705881</x:v>
      </x:c>
      <x:c r="Y35" s="12" t="n">
        <x:v>0.0234690891049759</x:v>
      </x:c>
      <x:c r="Z35" s="12" t="n">
        <x:v>0</x:v>
      </x:c>
      <x:c r="AA35" s="12" t="n">
        <x:f>IF(COUNT(X35:Z35)=3,AVERAGE(X35:Z35),"")</x:f>
        <x:v>0.016770035825188</x:v>
      </x:c>
      <x:c r="AB35" s="12" t="n">
        <x:v>0</x:v>
      </x:c>
      <x:c r="AC35" s="12" t="n">
        <x:v>0</x:v>
      </x:c>
      <x:c r="AD35" s="12" t="n">
        <x:v>0</x:v>
      </x:c>
      <x:c r="AE35" s="12" t="n">
        <x:f>IF(COUNT(AB35:AD35)=3,AVERAGE(AB35:AD35),"")</x:f>
        <x:v>0</x:v>
      </x:c>
      <x:c r="AF35" s="12" t="n">
        <x:v>0</x:v>
      </x:c>
      <x:c r="AG35" s="12" t="n">
        <x:v>0</x:v>
      </x:c>
      <x:c r="AH35" s="12" t="n">
        <x:v>0</x:v>
      </x:c>
      <x:c r="AI35" s="12" t="n">
        <x:f>IF(COUNT(AF35:AH35)=3,AVERAGE(AF35:AH35),"")</x:f>
        <x:v>0</x:v>
      </x:c>
      <x:c r="AJ35" s="12" t="n">
        <x:f>IF(COUNT(X35,AB35,AF35)=3,SUM(X35,AB35,AF35),"")</x:f>
        <x:v>0.0268410183705881</x:v>
      </x:c>
      <x:c r="AK35" s="12" t="n">
        <x:f>IF(COUNT(Y35,AC35,AG35)=3,SUM(Y35,AC35,AG35),"")</x:f>
        <x:v>0.0234690891049759</x:v>
      </x:c>
      <x:c r="AL35" s="12" t="n">
        <x:f>IF(COUNT(Z35,AD35,AH35)=3,SUM(Z35,AD35,AH35),"")</x:f>
        <x:v>0</x:v>
      </x:c>
      <x:c r="AM35" s="12" t="n">
        <x:f>IF(COUNT(AJ35:AL35)=3,AVERAGE(AJ35:AL35),"")</x:f>
        <x:v>0.016770035825188</x:v>
      </x:c>
      <x:c r="AN35" s="11" t="n">
        <x:v>0</x:v>
      </x:c>
      <x:c r="AO35" s="11" t="n">
        <x:v>0</x:v>
      </x:c>
      <x:c r="AP35" s="11" t="n">
        <x:v>0</x:v>
      </x:c>
      <x:c r="AQ35" s="11" t="n">
        <x:v>0</x:v>
      </x:c>
      <x:c r="AR35" s="11" t="n">
        <x:v>0</x:v>
      </x:c>
      <x:c r="AS35" s="11" t="n">
        <x:v>0</x:v>
      </x:c>
      <x:c r="AT35" s="11" t="n">
        <x:v>0</x:v>
      </x:c>
      <x:c r="AU35" s="11" t="n">
        <x:v>0</x:v>
      </x:c>
      <x:c r="AV35" s="4" t="inlineStr">
        <x:is>
          <x:t xml:space="preserve"/>
        </x:is>
      </x:c>
      <x:c r="AW35" s="4" t="inlineStr">
        <x:is>
          <x:t xml:space="preserve">Complete for all raw variables in 2015–2017</x:t>
        </x:is>
      </x:c>
    </x:row>
    <x:row r="36">
      <x:c r="A36" s="11" t="inlineStr">
        <x:is>
          <x:t xml:space="preserve">Morocco</x:t>
        </x:is>
      </x:c>
      <x:c r="B36" s="11" t="inlineStr">
        <x:is>
          <x:t xml:space="preserve">摩洛哥</x:t>
        </x:is>
      </x:c>
      <x:c r="C36" s="11" t="inlineStr">
        <x:is>
          <x:t xml:space="preserve">MAR</x:t>
        </x:is>
      </x:c>
      <x:c r="D36" s="11" t="inlineStr">
        <x:is>
          <x:t xml:space="preserve">Leading</x:t>
        </x:is>
      </x:c>
      <x:c r="E36" s="4" t="inlineStr">
        <x:is>
          <x:t xml:space="preserve">Scale-and-Momentum Leadership Archetype</x:t>
        </x:is>
      </x:c>
      <x:c r="F36" s="4" t="inlineStr">
        <x:is>
          <x:t xml:space="preserve">Moderate stability</x:t>
        </x:is>
      </x:c>
      <x:c r="G36" s="11" t="n"/>
      <x:c r="H36" s="12" t="n">
        <x:v>-0.2363813</x:v>
      </x:c>
      <x:c r="I36" s="12" t="n">
        <x:v>-0.1396764</x:v>
      </x:c>
      <x:c r="J36" s="12" t="n">
        <x:v>-0.2631327</x:v>
      </x:c>
      <x:c r="K36" s="12" t="n">
        <x:f>IF(COUNT(H36:J36)=3,AVERAGE(H36:J36),"")</x:f>
        <x:v>-0.21306346666666665</x:v>
      </x:c>
      <x:c r="L36" s="12" t="n">
        <x:v>-0.4546654</x:v>
      </x:c>
      <x:c r="M36" s="12" t="n">
        <x:v>-0.4710854</x:v>
      </x:c>
      <x:c r="N36" s="12" t="n">
        <x:v>-0.5065227</x:v>
      </x:c>
      <x:c r="O36" s="12" t="n">
        <x:f>IF(COUNT(L36:N36)=3,AVERAGE(L36:N36),"")</x:f>
        <x:v>-0.4774245</x:v>
      </x:c>
      <x:c r="P36" s="13" t="n">
        <x:v>110413823841.5919</x:v>
      </x:c>
      <x:c r="Q36" s="13" t="n">
        <x:v>111572947004.9175</x:v>
      </x:c>
      <x:c r="R36" s="13" t="n">
        <x:v>118540573367.8443</x:v>
      </x:c>
      <x:c r="S36" s="13" t="n">
        <x:f>IF(COUNT(P36:R36)=3,AVERAGE(P36:R36),"")</x:f>
        <x:v>113509114738.1179</x:v>
      </x:c>
      <x:c r="T36" s="13" t="n">
        <x:v>3146.24780273438</x:v>
      </x:c>
      <x:c r="U36" s="13" t="n">
        <x:v>3140.85546875</x:v>
      </x:c>
      <x:c r="V36" s="13" t="n">
        <x:v>3296.52661132813</x:v>
      </x:c>
      <x:c r="W36" s="13" t="n">
        <x:f>IF(COUNT(T36:V36)=3,AVERAGE(T36:V36),"")</x:f>
        <x:v>3194.543294270837</x:v>
      </x:c>
      <x:c r="X36" s="12" t="n">
        <x:v>0.00142730898853635</x:v>
      </x:c>
      <x:c r="Y36" s="12" t="n">
        <x:v>0.00113281093648473</x:v>
      </x:c>
      <x:c r="Z36" s="12" t="n">
        <x:v>0.00131078372177982</x:v>
      </x:c>
      <x:c r="AA36" s="12" t="n">
        <x:f>IF(COUNT(X36:Z36)=3,AVERAGE(X36:Z36),"")</x:f>
        <x:v>0.0012903012156003002</x:v>
      </x:c>
      <x:c r="AB36" s="12" t="n">
        <x:v>0.004323679359373</x:v>
      </x:c>
      <x:c r="AC36" s="12" t="n">
        <x:v>0.00295472045218195</x:v>
      </x:c>
      <x:c r="AD36" s="12" t="n">
        <x:v>0.00340502839948628</x:v>
      </x:c>
      <x:c r="AE36" s="12" t="n">
        <x:f>IF(COUNT(AB36:AD36)=3,AVERAGE(AB36:AD36),"")</x:f>
        <x:v>0.0035611427370137432</x:v>
      </x:c>
      <x:c r="AF36" s="12" t="n">
        <x:v>0</x:v>
      </x:c>
      <x:c r="AG36" s="12" t="n">
        <x:v>0</x:v>
      </x:c>
      <x:c r="AH36" s="12" t="n">
        <x:v>0</x:v>
      </x:c>
      <x:c r="AI36" s="12" t="n">
        <x:f>IF(COUNT(AF36:AH36)=3,AVERAGE(AF36:AH36),"")</x:f>
        <x:v>0</x:v>
      </x:c>
      <x:c r="AJ36" s="12" t="n">
        <x:f>IF(COUNT(X36,AB36,AF36)=3,SUM(X36,AB36,AF36),"")</x:f>
        <x:v>0.005750988347909349</x:v>
      </x:c>
      <x:c r="AK36" s="12" t="n">
        <x:f>IF(COUNT(Y36,AC36,AG36)=3,SUM(Y36,AC36,AG36),"")</x:f>
        <x:v>0.00408753138866668</x:v>
      </x:c>
      <x:c r="AL36" s="12" t="n">
        <x:f>IF(COUNT(Z36,AD36,AH36)=3,SUM(Z36,AD36,AH36),"")</x:f>
        <x:v>0.0047158121212661</x:v>
      </x:c>
      <x:c r="AM36" s="12" t="n">
        <x:f>IF(COUNT(AJ36:AL36)=3,AVERAGE(AJ36:AL36),"")</x:f>
        <x:v>0.004851443952614044</x:v>
      </x:c>
      <x:c r="AN36" s="11" t="n">
        <x:v>0</x:v>
      </x:c>
      <x:c r="AO36" s="11" t="n">
        <x:v>0</x:v>
      </x:c>
      <x:c r="AP36" s="11" t="n">
        <x:v>0</x:v>
      </x:c>
      <x:c r="AQ36" s="11" t="n">
        <x:v>0</x:v>
      </x:c>
      <x:c r="AR36" s="11" t="n">
        <x:v>0</x:v>
      </x:c>
      <x:c r="AS36" s="11" t="n">
        <x:v>0</x:v>
      </x:c>
      <x:c r="AT36" s="11" t="n">
        <x:v>0</x:v>
      </x:c>
      <x:c r="AU36" s="11" t="n">
        <x:v>0</x:v>
      </x:c>
      <x:c r="AV36" s="4" t="inlineStr">
        <x:is>
          <x:t xml:space="preserve"/>
        </x:is>
      </x:c>
      <x:c r="AW36" s="4" t="inlineStr">
        <x:is>
          <x:t xml:space="preserve">Complete for all raw variables in 2015–2017</x:t>
        </x:is>
      </x:c>
    </x:row>
    <x:row r="37">
      <x:c r="A37" s="11" t="inlineStr">
        <x:is>
          <x:t xml:space="preserve">Mozambique</x:t>
        </x:is>
      </x:c>
      <x:c r="B37" s="11" t="inlineStr">
        <x:is>
          <x:t xml:space="preserve">莫桑比克</x:t>
        </x:is>
      </x:c>
      <x:c r="C37" s="11" t="inlineStr">
        <x:is>
          <x:t xml:space="preserve">MOZ</x:t>
        </x:is>
      </x:c>
      <x:c r="D37" s="11" t="inlineStr">
        <x:is>
          <x:t xml:space="preserve">Balancing</x:t>
        </x:is>
      </x:c>
      <x:c r="E37" s="4" t="inlineStr">
        <x:is>
          <x:t xml:space="preserve">System-Deepening Archetype</x:t>
        </x:is>
      </x:c>
      <x:c r="F37" s="4" t="inlineStr">
        <x:is>
          <x:t xml:space="preserve">High stability</x:t>
        </x:is>
      </x:c>
      <x:c r="G37" s="11" t="n"/>
      <x:c r="H37" s="12" t="n">
        <x:v>-0.5800959999999999</x:v>
      </x:c>
      <x:c r="I37" s="12" t="n">
        <x:v>-0.6823519</x:v>
      </x:c>
      <x:c r="J37" s="12" t="n">
        <x:v>-0.6898963</x:v>
      </x:c>
      <x:c r="K37" s="12" t="n">
        <x:f>IF(COUNT(H37:J37)=3,AVERAGE(H37:J37),"")</x:f>
        <x:v>-0.6507814</x:v>
      </x:c>
      <x:c r="L37" s="12" t="n">
        <x:v>-0.6842916999999999</x:v>
      </x:c>
      <x:c r="M37" s="12" t="n">
        <x:v>-1.2808563</x:v>
      </x:c>
      <x:c r="N37" s="12" t="n">
        <x:v>-1.0653022</x:v>
      </x:c>
      <x:c r="O37" s="12" t="n">
        <x:f>IF(COUNT(L37:N37)=3,AVERAGE(L37:N37),"")</x:f>
        <x:v>-1.0101500666666665</x:v>
      </x:c>
      <x:c r="P37" s="13" t="n">
        <x:v>16208985769.61496</x:v>
      </x:c>
      <x:c r="Q37" s="13" t="n">
        <x:v>12069051237.17111</x:v>
      </x:c>
      <x:c r="R37" s="13" t="n">
        <x:v>13264640645.77679</x:v>
      </x:c>
      <x:c r="S37" s="13" t="n">
        <x:f>IF(COUNT(P37:R37)=3,AVERAGE(P37:R37),"")</x:f>
        <x:v>13847559217.520956</x:v>
      </x:c>
      <x:c r="T37" s="13" t="n">
        <x:v>610.5637747065892</x:v>
      </x:c>
      <x:c r="U37" s="13" t="n">
        <x:v>441.4897348190715</x:v>
      </x:c>
      <x:c r="V37" s="13" t="n">
        <x:v>470.9385630519602</x:v>
      </x:c>
      <x:c r="W37" s="13" t="n">
        <x:f>IF(COUNT(T37:V37)=3,AVERAGE(T37:V37),"")</x:f>
        <x:v>507.66402419254035</x:v>
      </x:c>
      <x:c r="X37" s="12" t="n">
        <x:v>0.050045182177423</x:v>
      </x:c>
      <x:c r="Y37" s="12" t="n">
        <x:v>0.0633248092640754</x:v>
      </x:c>
      <x:c r="Z37" s="12" t="n">
        <x:v>0.08729609275977129</x:v>
      </x:c>
      <x:c r="AA37" s="12" t="n">
        <x:f>IF(COUNT(X37:Z37)=3,AVERAGE(X37:Z37),"")</x:f>
        <x:v>0.06688869473375657</x:v>
      </x:c>
      <x:c r="AB37" s="12" t="n">
        <x:v>2.13938758840339</x:v>
      </x:c>
      <x:c r="AC37" s="12" t="n">
        <x:v>1.97200900578106</x:v>
      </x:c>
      <x:c r="AD37" s="12" t="n">
        <x:v>2.16082066537561</x:v>
      </x:c>
      <x:c r="AE37" s="12" t="n">
        <x:f>IF(COUNT(AB37:AD37)=3,AVERAGE(AB37:AD37),"")</x:f>
        <x:v>2.09073908652002</x:v>
      </x:c>
      <x:c r="AF37" s="12" t="n">
        <x:v>1.26833720910738</x:v>
      </x:c>
      <x:c r="AG37" s="12" t="n">
        <x:v>1.82404678745023</x:v>
      </x:c>
      <x:c r="AH37" s="12" t="n">
        <x:v>4.57367559928652</x:v>
      </x:c>
      <x:c r="AI37" s="12" t="n">
        <x:f>IF(COUNT(AF37:AH37)=3,AVERAGE(AF37:AH37),"")</x:f>
        <x:v>2.5553531986147098</x:v>
      </x:c>
      <x:c r="AJ37" s="12" t="n">
        <x:f>IF(COUNT(X37,AB37,AF37)=3,SUM(X37,AB37,AF37),"")</x:f>
        <x:v>3.4577699796881927</x:v>
      </x:c>
      <x:c r="AK37" s="12" t="n">
        <x:f>IF(COUNT(Y37,AC37,AG37)=3,SUM(Y37,AC37,AG37),"")</x:f>
        <x:v>3.8593806024953654</x:v>
      </x:c>
      <x:c r="AL37" s="12" t="n">
        <x:f>IF(COUNT(Z37,AD37,AH37)=3,SUM(Z37,AD37,AH37),"")</x:f>
        <x:v>6.8217923574219</x:v>
      </x:c>
      <x:c r="AM37" s="12" t="n">
        <x:f>IF(COUNT(AJ37:AL37)=3,AVERAGE(AJ37:AL37),"")</x:f>
        <x:v>4.712980979868486</x:v>
      </x:c>
      <x:c r="AN37" s="11" t="n">
        <x:v>0</x:v>
      </x:c>
      <x:c r="AO37" s="11" t="n">
        <x:v>0</x:v>
      </x:c>
      <x:c r="AP37" s="11" t="n">
        <x:v>0</x:v>
      </x:c>
      <x:c r="AQ37" s="11" t="n">
        <x:v>0</x:v>
      </x:c>
      <x:c r="AR37" s="11" t="n">
        <x:v>0</x:v>
      </x:c>
      <x:c r="AS37" s="11" t="n">
        <x:v>0</x:v>
      </x:c>
      <x:c r="AT37" s="11" t="n">
        <x:v>0</x:v>
      </x:c>
      <x:c r="AU37" s="11" t="n">
        <x:v>0</x:v>
      </x:c>
      <x:c r="AV37" s="4" t="inlineStr">
        <x:is>
          <x:t xml:space="preserve"/>
        </x:is>
      </x:c>
      <x:c r="AW37" s="4" t="inlineStr">
        <x:is>
          <x:t xml:space="preserve">Complete for all raw variables in 2015–2017</x:t>
        </x:is>
      </x:c>
    </x:row>
    <x:row r="38">
      <x:c r="A38" s="11" t="inlineStr">
        <x:is>
          <x:t xml:space="preserve">Namibia</x:t>
        </x:is>
      </x:c>
      <x:c r="B38" s="11" t="inlineStr">
        <x:is>
          <x:t xml:space="preserve">纳米比亚</x:t>
        </x:is>
      </x:c>
      <x:c r="C38" s="11" t="inlineStr">
        <x:is>
          <x:t xml:space="preserve">NAM</x:t>
        </x:is>
      </x:c>
      <x:c r="D38" s="11" t="inlineStr">
        <x:is>
          <x:t xml:space="preserve">Balancing</x:t>
        </x:is>
      </x:c>
      <x:c r="E38" s="4" t="inlineStr">
        <x:is>
          <x:t xml:space="preserve">System-Deepening Archetype</x:t>
        </x:is>
      </x:c>
      <x:c r="F38" s="4" t="inlineStr">
        <x:is>
          <x:t xml:space="preserve">High stability</x:t>
        </x:is>
      </x:c>
      <x:c r="G38" s="11" t="n"/>
      <x:c r="H38" s="12" t="n">
        <x:v>0.2927673</x:v>
      </x:c>
      <x:c r="I38" s="12" t="n">
        <x:v>0.2349555</x:v>
      </x:c>
      <x:c r="J38" s="12" t="n">
        <x:v>0.2683997</x:v>
      </x:c>
      <x:c r="K38" s="12" t="n">
        <x:f>IF(COUNT(H38:J38)=3,AVERAGE(H38:J38),"")</x:f>
        <x:v>0.2653741666666667</x:v>
      </x:c>
      <x:c r="L38" s="12" t="n">
        <x:v>0.7175058</x:v>
      </x:c>
      <x:c r="M38" s="12" t="n">
        <x:v>0.6657312999999999</x:v>
      </x:c>
      <x:c r="N38" s="12" t="n">
        <x:v>0.6294292</x:v>
      </x:c>
      <x:c r="O38" s="12" t="n">
        <x:f>IF(COUNT(L38:N38)=3,AVERAGE(L38:N38),"")</x:f>
        <x:v>0.6708887666666666</x:v>
      </x:c>
      <x:c r="P38" s="13" t="n">
        <x:v>11335161083.5061</x:v>
      </x:c>
      <x:c r="Q38" s="13" t="n">
        <x:v>10722018732.09359</x:v>
      </x:c>
      <x:c r="R38" s="13" t="n">
        <x:v>12895153370.91319</x:v>
      </x:c>
      <x:c r="S38" s="13" t="n">
        <x:f>IF(COUNT(P38:R38)=3,AVERAGE(P38:R38),"")</x:f>
        <x:v>11650777728.837626</x:v>
      </x:c>
      <x:c r="T38" s="13" t="n">
        <x:v>4774.106508657753</x:v>
      </x:c>
      <x:c r="U38" s="13" t="n">
        <x:v>4395.687761623764</x:v>
      </x:c>
      <x:c r="V38" s="13" t="n">
        <x:v>5143.960723230756</x:v>
      </x:c>
      <x:c r="W38" s="13" t="n">
        <x:f>IF(COUNT(T38:V38)=3,AVERAGE(T38:V38),"")</x:f>
        <x:v>4771.251664504091</x:v>
      </x:c>
      <x:c r="X38" s="12" t="n">
        <x:v>0</x:v>
      </x:c>
      <x:c r="Y38" s="12" t="n">
        <x:v>0</x:v>
      </x:c>
      <x:c r="Z38" s="12" t="n">
        <x:v>0</x:v>
      </x:c>
      <x:c r="AA38" s="12" t="n">
        <x:f>IF(COUNT(X38:Z38)=3,AVERAGE(X38:Z38),"")</x:f>
        <x:v>0</x:v>
      </x:c>
      <x:c r="AB38" s="12" t="n">
        <x:v>0</x:v>
      </x:c>
      <x:c r="AC38" s="12" t="n">
        <x:v>0</x:v>
      </x:c>
      <x:c r="AD38" s="12" t="n">
        <x:v>0</x:v>
      </x:c>
      <x:c r="AE38" s="12" t="n">
        <x:f>IF(COUNT(AB38:AD38)=3,AVERAGE(AB38:AD38),"")</x:f>
        <x:v>0</x:v>
      </x:c>
      <x:c r="AF38" s="12" t="n">
        <x:v>0</x:v>
      </x:c>
      <x:c r="AG38" s="12" t="n">
        <x:v>0</x:v>
      </x:c>
      <x:c r="AH38" s="12" t="n">
        <x:v>0</x:v>
      </x:c>
      <x:c r="AI38" s="12" t="n">
        <x:f>IF(COUNT(AF38:AH38)=3,AVERAGE(AF38:AH38),"")</x:f>
        <x:v>0</x:v>
      </x:c>
      <x:c r="AJ38" s="12" t="n">
        <x:f>IF(COUNT(X38,AB38,AF38)=3,SUM(X38,AB38,AF38),"")</x:f>
        <x:v>0</x:v>
      </x:c>
      <x:c r="AK38" s="12" t="n">
        <x:f>IF(COUNT(Y38,AC38,AG38)=3,SUM(Y38,AC38,AG38),"")</x:f>
        <x:v>0</x:v>
      </x:c>
      <x:c r="AL38" s="12" t="n">
        <x:f>IF(COUNT(Z38,AD38,AH38)=3,SUM(Z38,AD38,AH38),"")</x:f>
        <x:v>0</x:v>
      </x:c>
      <x:c r="AM38" s="12" t="n">
        <x:f>IF(COUNT(AJ38:AL38)=3,AVERAGE(AJ38:AL38),"")</x:f>
        <x:v>0</x:v>
      </x:c>
      <x:c r="AN38" s="11" t="n">
        <x:v>0</x:v>
      </x:c>
      <x:c r="AO38" s="11" t="n">
        <x:v>0</x:v>
      </x:c>
      <x:c r="AP38" s="11" t="n">
        <x:v>0</x:v>
      </x:c>
      <x:c r="AQ38" s="11" t="n">
        <x:v>0</x:v>
      </x:c>
      <x:c r="AR38" s="11" t="n">
        <x:v>0</x:v>
      </x:c>
      <x:c r="AS38" s="11" t="n">
        <x:v>0</x:v>
      </x:c>
      <x:c r="AT38" s="11" t="n">
        <x:v>0</x:v>
      </x:c>
      <x:c r="AU38" s="11" t="n">
        <x:v>0</x:v>
      </x:c>
      <x:c r="AV38" s="4" t="inlineStr">
        <x:is>
          <x:t xml:space="preserve"/>
        </x:is>
      </x:c>
      <x:c r="AW38" s="4" t="inlineStr">
        <x:is>
          <x:t xml:space="preserve">Complete for all raw variables in 2015–2017</x:t>
        </x:is>
      </x:c>
    </x:row>
    <x:row r="39">
      <x:c r="A39" s="11" t="inlineStr">
        <x:is>
          <x:t xml:space="preserve">Niger</x:t>
        </x:is>
      </x:c>
      <x:c r="B39" s="11" t="inlineStr">
        <x:is>
          <x:t xml:space="preserve">尼日尔</x:t>
        </x:is>
      </x:c>
      <x:c r="C39" s="11" t="inlineStr">
        <x:is>
          <x:t xml:space="preserve">NER</x:t>
        </x:is>
      </x:c>
      <x:c r="D39" s="11" t="inlineStr">
        <x:is>
          <x:t xml:space="preserve">Lagging</x:t>
        </x:is>
      </x:c>
      <x:c r="E39" s="4" t="inlineStr">
        <x:is>
          <x:t xml:space="preserve">Transition-Constrained Archetype</x:t>
        </x:is>
      </x:c>
      <x:c r="F39" s="4" t="inlineStr">
        <x:is>
          <x:t xml:space="preserve">High stability</x:t>
        </x:is>
      </x:c>
      <x:c r="G39" s="11" t="n"/>
      <x:c r="H39" s="12" t="n">
        <x:v>-0.5908565</x:v>
      </x:c>
      <x:c r="I39" s="12" t="n">
        <x:v>-0.5660436999999999</x:v>
      </x:c>
      <x:c r="J39" s="12" t="n">
        <x:v>-0.654903</x:v>
      </x:c>
      <x:c r="K39" s="12" t="n">
        <x:f>IF(COUNT(H39:J39)=3,AVERAGE(H39:J39),"")</x:f>
        <x:v>-0.6039344</x:v>
      </x:c>
      <x:c r="L39" s="12" t="n">
        <x:v>-0.7994888999999999</x:v>
      </x:c>
      <x:c r="M39" s="12" t="n">
        <x:v>-0.9443199999999999</x:v>
      </x:c>
      <x:c r="N39" s="12" t="n">
        <x:v>-1.0412801</x:v>
      </x:c>
      <x:c r="O39" s="12" t="n">
        <x:f>IF(COUNT(L39:N39)=3,AVERAGE(L39:N39),"")</x:f>
        <x:v>-0.928363</x:v>
      </x:c>
      <x:c r="P39" s="13" t="n">
        <x:v>9683867926.442823</x:v>
      </x:c>
      <x:c r="Q39" s="13" t="n">
        <x:v>10341025540.23218</x:v>
      </x:c>
      <x:c r="R39" s="13" t="n">
        <x:v>11359273443.38975</x:v>
      </x:c>
      <x:c r="S39" s="13" t="n">
        <x:f>IF(COUNT(P39:R39)=3,AVERAGE(P39:R39),"")</x:f>
        <x:v>10461388970.021584</x:v>
      </x:c>
      <x:c r="T39" s="13" t="n">
        <x:v>485.6625741752788</x:v>
      </x:c>
      <x:c r="U39" s="13" t="n">
        <x:v>499.910520068193</x:v>
      </x:c>
      <x:c r="V39" s="13" t="n">
        <x:v>529.9294189348683</x:v>
      </x:c>
      <x:c r="W39" s="13" t="n">
        <x:f>IF(COUNT(T39:V39)=3,AVERAGE(T39:V39),"")</x:f>
        <x:v>505.16750439278</x:v>
      </x:c>
      <x:c r="X39" s="12" t="n">
        <x:v>0.90069467580531</x:v>
      </x:c>
      <x:c r="Y39" s="12" t="n">
        <x:v>0.920918399439848</x:v>
      </x:c>
      <x:c r="Z39" s="12" t="n">
        <x:v>1.29768887354329</x:v>
      </x:c>
      <x:c r="AA39" s="12" t="n">
        <x:f>IF(COUNT(X39:Z39)=3,AVERAGE(X39:Z39),"")</x:f>
        <x:v>1.039767316262816</x:v>
      </x:c>
      <x:c r="AB39" s="12" t="n">
        <x:v>0</x:v>
      </x:c>
      <x:c r="AC39" s="12" t="n">
        <x:v>0</x:v>
      </x:c>
      <x:c r="AD39" s="12" t="n">
        <x:v>0</x:v>
      </x:c>
      <x:c r="AE39" s="12" t="n">
        <x:f>IF(COUNT(AB39:AD39)=3,AVERAGE(AB39:AD39),"")</x:f>
        <x:v>0</x:v>
      </x:c>
      <x:c r="AF39" s="12" t="n">
        <x:v>0.0234772390851172</x:v>
      </x:c>
      <x:c r="AG39" s="12" t="n">
        <x:v>0.0268755656188016</x:v>
      </x:c>
      <x:c r="AH39" s="12" t="n">
        <x:v>0.0314688786329333</x:v>
      </x:c>
      <x:c r="AI39" s="12" t="n">
        <x:f>IF(COUNT(AF39:AH39)=3,AVERAGE(AF39:AH39),"")</x:f>
        <x:v>0.02727389444561737</x:v>
      </x:c>
      <x:c r="AJ39" s="12" t="n">
        <x:f>IF(COUNT(X39,AB39,AF39)=3,SUM(X39,AB39,AF39),"")</x:f>
        <x:v>0.9241719148904273</x:v>
      </x:c>
      <x:c r="AK39" s="12" t="n">
        <x:f>IF(COUNT(Y39,AC39,AG39)=3,SUM(Y39,AC39,AG39),"")</x:f>
        <x:v>0.9477939650586495</x:v>
      </x:c>
      <x:c r="AL39" s="12" t="n">
        <x:f>IF(COUNT(Z39,AD39,AH39)=3,SUM(Z39,AD39,AH39),"")</x:f>
        <x:v>1.3291577521762235</x:v>
      </x:c>
      <x:c r="AM39" s="12" t="n">
        <x:f>IF(COUNT(AJ39:AL39)=3,AVERAGE(AJ39:AL39),"")</x:f>
        <x:v>1.0670412107084335</x:v>
      </x:c>
      <x:c r="AN39" s="11" t="n">
        <x:v>0</x:v>
      </x:c>
      <x:c r="AO39" s="11" t="n">
        <x:v>0</x:v>
      </x:c>
      <x:c r="AP39" s="11" t="n">
        <x:v>0</x:v>
      </x:c>
      <x:c r="AQ39" s="11" t="n">
        <x:v>0</x:v>
      </x:c>
      <x:c r="AR39" s="11" t="n">
        <x:v>0</x:v>
      </x:c>
      <x:c r="AS39" s="11" t="n">
        <x:v>0</x:v>
      </x:c>
      <x:c r="AT39" s="11" t="n">
        <x:v>0</x:v>
      </x:c>
      <x:c r="AU39" s="11" t="n">
        <x:v>0</x:v>
      </x:c>
      <x:c r="AV39" s="4" t="inlineStr">
        <x:is>
          <x:t xml:space="preserve"/>
        </x:is>
      </x:c>
      <x:c r="AW39" s="4" t="inlineStr">
        <x:is>
          <x:t xml:space="preserve">Complete for all raw variables in 2015–2017</x:t>
        </x:is>
      </x:c>
    </x:row>
    <x:row r="40">
      <x:c r="A40" s="11" t="inlineStr">
        <x:is>
          <x:t xml:space="preserve">Nigeria</x:t>
        </x:is>
      </x:c>
      <x:c r="B40" s="11" t="inlineStr">
        <x:is>
          <x:t xml:space="preserve">尼日利亚</x:t>
        </x:is>
      </x:c>
      <x:c r="C40" s="11" t="inlineStr">
        <x:is>
          <x:t xml:space="preserve">NGA</x:t>
        </x:is>
      </x:c>
      <x:c r="D40" s="11" t="inlineStr">
        <x:is>
          <x:t xml:space="preserve">Balancing</x:t>
        </x:is>
      </x:c>
      <x:c r="E40" s="4" t="inlineStr">
        <x:is>
          <x:t xml:space="preserve">System-Deepening Archetype</x:t>
        </x:is>
      </x:c>
      <x:c r="F40" s="4" t="inlineStr">
        <x:is>
          <x:t xml:space="preserve">Moderate stability</x:t>
        </x:is>
      </x:c>
      <x:c r="G40" s="11" t="n"/>
      <x:c r="H40" s="12" t="n">
        <x:v>-0.9138837999999999</x:v>
      </x:c>
      <x:c r="I40" s="12" t="n">
        <x:v>-0.9191661999999999</x:v>
      </x:c>
      <x:c r="J40" s="12" t="n">
        <x:v>-0.8608661</x:v>
      </x:c>
      <x:c r="K40" s="12" t="n">
        <x:f>IF(COUNT(H40:J40)=3,AVERAGE(H40:J40),"")</x:f>
        <x:v>-0.8979720333333333</x:v>
      </x:c>
      <x:c r="L40" s="12" t="n">
        <x:v>-1.6677713</x:v>
      </x:c>
      <x:c r="M40" s="12" t="n">
        <x:v>-1.7100665</x:v>
      </x:c>
      <x:c r="N40" s="12" t="n">
        <x:v>-1.9097854</x:v>
      </x:c>
      <x:c r="O40" s="12" t="n">
        <x:f>IF(COUNT(L40:N40)=3,AVERAGE(L40:N40),"")</x:f>
        <x:v>-1.7625410666666668</x:v>
      </x:c>
      <x:c r="P40" s="13" t="n">
        <x:v>493026682800.6295</x:v>
      </x:c>
      <x:c r="Q40" s="13" t="n">
        <x:v>404649125252.1595</x:v>
      </x:c>
      <x:c r="R40" s="13" t="n">
        <x:v>375745731053.4268</x:v>
      </x:c>
      <x:c r="S40" s="13" t="n">
        <x:f>IF(COUNT(P40:R40)=3,AVERAGE(P40:R40),"")</x:f>
        <x:v>424473846368.7386</x:v>
      </x:c>
      <x:c r="T40" s="13" t="n">
        <x:v>2585.733606717974</x:v>
      </x:c>
      <x:c r="U40" s="13" t="n">
        <x:v>2070.412733959496</x:v>
      </x:c>
      <x:c r="V40" s="13" t="n">
        <x:v>1876.34027111773</x:v>
      </x:c>
      <x:c r="W40" s="13" t="n">
        <x:f>IF(COUNT(T40:V40)=3,AVERAGE(T40:V40),"")</x:f>
        <x:v>2177.495537265067</x:v>
      </x:c>
      <x:c r="X40" s="12" t="n">
        <x:v>2.78345150643408</x:v>
      </x:c>
      <x:c r="Y40" s="12" t="n">
        <x:v>2.68429043488445</x:v>
      </x:c>
      <x:c r="Z40" s="12" t="n">
        <x:v>5.47262882301734</x:v>
      </x:c>
      <x:c r="AA40" s="12" t="n">
        <x:f>IF(COUNT(X40:Z40)=3,AVERAGE(X40:Z40),"")</x:f>
        <x:v>3.6467902547786237</x:v>
      </x:c>
      <x:c r="AB40" s="12" t="n">
        <x:v>0.606650567592808</x:v>
      </x:c>
      <x:c r="AC40" s="12" t="n">
        <x:v>0.482590199613052</x:v>
      </x:c>
      <x:c r="AD40" s="12" t="n">
        <x:v>0.679652469225142</x:v>
      </x:c>
      <x:c r="AE40" s="12" t="n">
        <x:f>IF(COUNT(AB40:AD40)=3,AVERAGE(AB40:AD40),"")</x:f>
        <x:v>0.5896310788103339</x:v>
      </x:c>
      <x:c r="AF40" s="12" t="n">
        <x:v>0.000225610780824667</x:v>
      </x:c>
      <x:c r="AG40" s="12" t="n">
        <x:v>0.000315241982083601</x:v>
      </x:c>
      <x:c r="AH40" s="12" t="n">
        <x:v>0.000446678960032166</x:v>
      </x:c>
      <x:c r="AI40" s="12" t="n">
        <x:f>IF(COUNT(AF40:AH40)=3,AVERAGE(AF40:AH40),"")</x:f>
        <x:v>0.00032917724098014464</x:v>
      </x:c>
      <x:c r="AJ40" s="12" t="n">
        <x:f>IF(COUNT(X40,AB40,AF40)=3,SUM(X40,AB40,AF40),"")</x:f>
        <x:v>3.3903276848077124</x:v>
      </x:c>
      <x:c r="AK40" s="12" t="n">
        <x:f>IF(COUNT(Y40,AC40,AG40)=3,SUM(Y40,AC40,AG40),"")</x:f>
        <x:v>3.167195876479586</x:v>
      </x:c>
      <x:c r="AL40" s="12" t="n">
        <x:f>IF(COUNT(Z40,AD40,AH40)=3,SUM(Z40,AD40,AH40),"")</x:f>
        <x:v>6.1527279712025145</x:v>
      </x:c>
      <x:c r="AM40" s="12" t="n">
        <x:f>IF(COUNT(AJ40:AL40)=3,AVERAGE(AJ40:AL40),"")</x:f>
        <x:v>4.236750510829938</x:v>
      </x:c>
      <x:c r="AN40" s="11" t="n">
        <x:v>0</x:v>
      </x:c>
      <x:c r="AO40" s="11" t="n">
        <x:v>0</x:v>
      </x:c>
      <x:c r="AP40" s="11" t="n">
        <x:v>0</x:v>
      </x:c>
      <x:c r="AQ40" s="11" t="n">
        <x:v>0</x:v>
      </x:c>
      <x:c r="AR40" s="11" t="n">
        <x:v>0</x:v>
      </x:c>
      <x:c r="AS40" s="11" t="n">
        <x:v>0</x:v>
      </x:c>
      <x:c r="AT40" s="11" t="n">
        <x:v>0</x:v>
      </x:c>
      <x:c r="AU40" s="11" t="n">
        <x:v>0</x:v>
      </x:c>
      <x:c r="AV40" s="4" t="inlineStr">
        <x:is>
          <x:t xml:space="preserve"/>
        </x:is>
      </x:c>
      <x:c r="AW40" s="4" t="inlineStr">
        <x:is>
          <x:t xml:space="preserve">Complete for all raw variables in 2015–2017</x:t>
        </x:is>
      </x:c>
    </x:row>
    <x:row r="41">
      <x:c r="A41" s="11" t="inlineStr">
        <x:is>
          <x:t xml:space="preserve">Rwanda</x:t>
        </x:is>
      </x:c>
      <x:c r="B41" s="11" t="inlineStr">
        <x:is>
          <x:t xml:space="preserve">卢旺达</x:t>
        </x:is>
      </x:c>
      <x:c r="C41" s="11" t="inlineStr">
        <x:is>
          <x:t xml:space="preserve">RWA</x:t>
        </x:is>
      </x:c>
      <x:c r="D41" s="11" t="inlineStr">
        <x:is>
          <x:t xml:space="preserve">Balancing</x:t>
        </x:is>
      </x:c>
      <x:c r="E41" s="4" t="inlineStr">
        <x:is>
          <x:t xml:space="preserve">System-Deepening Archetype</x:t>
        </x:is>
      </x:c>
      <x:c r="F41" s="4" t="inlineStr">
        <x:is>
          <x:t xml:space="preserve">Moderate stability</x:t>
        </x:is>
      </x:c>
      <x:c r="G41" s="11" t="n"/>
      <x:c r="H41" s="12" t="n">
        <x:v>-0.0496198</x:v>
      </x:c>
      <x:c r="I41" s="12" t="n">
        <x:v>0.1202434</x:v>
      </x:c>
      <x:c r="J41" s="12" t="n">
        <x:v>0.316719</x:v>
      </x:c>
      <x:c r="K41" s="12" t="n">
        <x:f>IF(COUNT(H41:J41)=3,AVERAGE(H41:J41),"")</x:f>
        <x:v>0.12911419999999998</x:v>
      </x:c>
      <x:c r="L41" s="12" t="n">
        <x:v>0.09866359999999999</x:v>
      </x:c>
      <x:c r="M41" s="12" t="n">
        <x:v>-0.0457773</x:v>
      </x:c>
      <x:c r="N41" s="12" t="n">
        <x:v>0.094453</x:v>
      </x:c>
      <x:c r="O41" s="12" t="n">
        <x:f>IF(COUNT(L41:N41)=3,AVERAGE(L41:N41),"")</x:f>
        <x:v>0.04911309999999999</x:v>
      </x:c>
      <x:c r="P41" s="13" t="n">
        <x:v>8447064078.843735</x:v>
      </x:c>
      <x:c r="Q41" s="13" t="n">
        <x:v>8596812240.523048</x:v>
      </x:c>
      <x:c r="R41" s="13" t="n">
        <x:v>9164345443.257502</x:v>
      </x:c>
      <x:c r="S41" s="13" t="n">
        <x:f>IF(COUNT(P41:R41)=3,AVERAGE(P41:R41),"")</x:f>
        <x:v>8736073920.874762</x:v>
      </x:c>
      <x:c r="T41" s="13" t="n">
        <x:v>725.6914186969522</x:v>
      </x:c>
      <x:c r="U41" s="13" t="n">
        <x:v>721.2585158330943</x:v>
      </x:c>
      <x:c r="V41" s="13" t="n">
        <x:v>751.0490395275472</x:v>
      </x:c>
      <x:c r="W41" s="13" t="n">
        <x:f>IF(COUNT(T41:V41)=3,AVERAGE(T41:V41),"")</x:f>
        <x:v>732.6663246858647</x:v>
      </x:c>
      <x:c r="X41" s="12" t="n">
        <x:v>0</x:v>
      </x:c>
      <x:c r="Y41" s="12" t="n">
        <x:v>0</x:v>
      </x:c>
      <x:c r="Z41" s="12" t="n">
        <x:v>0</x:v>
      </x:c>
      <x:c r="AA41" s="12" t="n">
        <x:f>IF(COUNT(X41:Z41)=3,AVERAGE(X41:Z41),"")</x:f>
        <x:v>0</x:v>
      </x:c>
      <x:c r="AB41" s="12" t="n">
        <x:v>0.0208868684461887</x:v>
      </x:c>
      <x:c r="AC41" s="12" t="n">
        <x:v>0.02382024508965</x:v>
      </x:c>
      <x:c r="AD41" s="12" t="n">
        <x:v>0.0273775740346356</x:v>
      </x:c>
      <x:c r="AE41" s="12" t="n">
        <x:f>IF(COUNT(AB41:AD41)=3,AVERAGE(AB41:AD41),"")</x:f>
        <x:v>0.0240282291901581</x:v>
      </x:c>
      <x:c r="AF41" s="12" t="n">
        <x:v>0</x:v>
      </x:c>
      <x:c r="AG41" s="12" t="n">
        <x:v>0</x:v>
      </x:c>
      <x:c r="AH41" s="12" t="n">
        <x:v>0</x:v>
      </x:c>
      <x:c r="AI41" s="12" t="n">
        <x:f>IF(COUNT(AF41:AH41)=3,AVERAGE(AF41:AH41),"")</x:f>
        <x:v>0</x:v>
      </x:c>
      <x:c r="AJ41" s="12" t="n">
        <x:f>IF(COUNT(X41,AB41,AF41)=3,SUM(X41,AB41,AF41),"")</x:f>
        <x:v>0.0208868684461887</x:v>
      </x:c>
      <x:c r="AK41" s="12" t="n">
        <x:f>IF(COUNT(Y41,AC41,AG41)=3,SUM(Y41,AC41,AG41),"")</x:f>
        <x:v>0.02382024508965</x:v>
      </x:c>
      <x:c r="AL41" s="12" t="n">
        <x:f>IF(COUNT(Z41,AD41,AH41)=3,SUM(Z41,AD41,AH41),"")</x:f>
        <x:v>0.0273775740346356</x:v>
      </x:c>
      <x:c r="AM41" s="12" t="n">
        <x:f>IF(COUNT(AJ41:AL41)=3,AVERAGE(AJ41:AL41),"")</x:f>
        <x:v>0.0240282291901581</x:v>
      </x:c>
      <x:c r="AN41" s="11" t="n">
        <x:v>0</x:v>
      </x:c>
      <x:c r="AO41" s="11" t="n">
        <x:v>0</x:v>
      </x:c>
      <x:c r="AP41" s="11" t="n">
        <x:v>0</x:v>
      </x:c>
      <x:c r="AQ41" s="11" t="n">
        <x:v>0</x:v>
      </x:c>
      <x:c r="AR41" s="11" t="n">
        <x:v>0</x:v>
      </x:c>
      <x:c r="AS41" s="11" t="n">
        <x:v>0</x:v>
      </x:c>
      <x:c r="AT41" s="11" t="n">
        <x:v>0</x:v>
      </x:c>
      <x:c r="AU41" s="11" t="n">
        <x:v>0</x:v>
      </x:c>
      <x:c r="AV41" s="4" t="inlineStr">
        <x:is>
          <x:t xml:space="preserve"/>
        </x:is>
      </x:c>
      <x:c r="AW41" s="4" t="inlineStr">
        <x:is>
          <x:t xml:space="preserve">Complete for all raw variables in 2015–2017</x:t>
        </x:is>
      </x:c>
    </x:row>
    <x:row r="42">
      <x:c r="A42" s="11" t="inlineStr">
        <x:is>
          <x:t xml:space="preserve">Sao Tome and Principe</x:t>
        </x:is>
      </x:c>
      <x:c r="B42" s="11" t="inlineStr">
        <x:is>
          <x:t xml:space="preserve">圣多美和普林西比</x:t>
        </x:is>
      </x:c>
      <x:c r="C42" s="11" t="inlineStr">
        <x:is>
          <x:t xml:space="preserve">STP</x:t>
        </x:is>
      </x:c>
      <x:c r="D42" s="11" t="inlineStr">
        <x:is>
          <x:t xml:space="preserve">Lagging</x:t>
        </x:is>
      </x:c>
      <x:c r="E42" s="4" t="inlineStr">
        <x:is>
          <x:t xml:space="preserve">Transition-Constrained Archetype</x:t>
        </x:is>
      </x:c>
      <x:c r="F42" s="4" t="inlineStr">
        <x:is>
          <x:t xml:space="preserve">High stability</x:t>
        </x:is>
      </x:c>
      <x:c r="G42" s="11" t="n"/>
      <x:c r="H42" s="12" t="n">
        <x:v>-0.6582285999999999</x:v>
      </x:c>
      <x:c r="I42" s="12" t="n">
        <x:v>-0.5965439</x:v>
      </x:c>
      <x:c r="J42" s="12" t="n">
        <x:v>-0.5457335999999999</x:v>
      </x:c>
      <x:c r="K42" s="12" t="n">
        <x:f>IF(COUNT(H42:J42)=3,AVERAGE(H42:J42),"")</x:f>
        <x:v>-0.6001687</x:v>
      </x:c>
      <x:c r="L42" s="12" t="n">
        <x:v>0.3792166</x:v>
      </x:c>
      <x:c r="M42" s="12" t="n">
        <x:v>0.2641856</x:v>
      </x:c>
      <x:c r="N42" s="12" t="n">
        <x:v>0.2145007</x:v>
      </x:c>
      <x:c r="O42" s="12" t="n">
        <x:f>IF(COUNT(L42:N42)=3,AVERAGE(L42:N42),"")</x:f>
        <x:v>0.28596763333333336</x:v>
      </x:c>
      <x:c r="P42" s="13" t="n">
        <x:v>259999643.047388</x:v>
      </x:c>
      <x:c r="Q42" s="13" t="n">
        <x:v>292267272.1969252</x:v>
      </x:c>
      <x:c r="R42" s="13" t="n">
        <x:v>322002845.2293353</x:v>
      </x:c>
      <x:c r="S42" s="13" t="n">
        <x:f>IF(COUNT(P42:R42)=3,AVERAGE(P42:R42),"")</x:f>
        <x:v>291423253.4912162</x:v>
      </x:c>
      <x:c r="T42" s="13" t="n">
        <x:v>1298.109465963963</x:v>
      </x:c>
      <x:c r="U42" s="13" t="n">
        <x:v>1434.870180505208</x:v>
      </x:c>
      <x:c r="V42" s="13" t="n">
        <x:v>1555.794778128885</x:v>
      </x:c>
      <x:c r="W42" s="13" t="n">
        <x:f>IF(COUNT(T42:V42)=3,AVERAGE(T42:V42),"")</x:f>
        <x:v>1429.5914748660186</x:v>
      </x:c>
      <x:c r="X42" s="12" t="n">
        <x:v>0</x:v>
      </x:c>
      <x:c r="Y42" s="12" t="n">
        <x:v>0</x:v>
      </x:c>
      <x:c r="Z42" s="12" t="n">
        <x:v>0</x:v>
      </x:c>
      <x:c r="AA42" s="12" t="n">
        <x:f>IF(COUNT(X42:Z42)=3,AVERAGE(X42:Z42),"")</x:f>
        <x:v>0</x:v>
      </x:c>
      <x:c r="AB42" s="12" t="n">
        <x:v>0</x:v>
      </x:c>
      <x:c r="AC42" s="12" t="n">
        <x:v>0</x:v>
      </x:c>
      <x:c r="AD42" s="12" t="n">
        <x:v>0</x:v>
      </x:c>
      <x:c r="AE42" s="12" t="n">
        <x:f>IF(COUNT(AB42:AD42)=3,AVERAGE(AB42:AD42),"")</x:f>
        <x:v>0</x:v>
      </x:c>
      <x:c r="AF42" s="12" t="n">
        <x:v>0</x:v>
      </x:c>
      <x:c r="AG42" s="12" t="n">
        <x:v>0</x:v>
      </x:c>
      <x:c r="AH42" s="12" t="n">
        <x:v>0</x:v>
      </x:c>
      <x:c r="AI42" s="12" t="n">
        <x:f>IF(COUNT(AF42:AH42)=3,AVERAGE(AF42:AH42),"")</x:f>
        <x:v>0</x:v>
      </x:c>
      <x:c r="AJ42" s="12" t="n">
        <x:f>IF(COUNT(X42,AB42,AF42)=3,SUM(X42,AB42,AF42),"")</x:f>
        <x:v>0</x:v>
      </x:c>
      <x:c r="AK42" s="12" t="n">
        <x:f>IF(COUNT(Y42,AC42,AG42)=3,SUM(Y42,AC42,AG42),"")</x:f>
        <x:v>0</x:v>
      </x:c>
      <x:c r="AL42" s="12" t="n">
        <x:f>IF(COUNT(Z42,AD42,AH42)=3,SUM(Z42,AD42,AH42),"")</x:f>
        <x:v>0</x:v>
      </x:c>
      <x:c r="AM42" s="12" t="n">
        <x:f>IF(COUNT(AJ42:AL42)=3,AVERAGE(AJ42:AL42),"")</x:f>
        <x:v>0</x:v>
      </x:c>
      <x:c r="AN42" s="11" t="n">
        <x:v>0</x:v>
      </x:c>
      <x:c r="AO42" s="11" t="n">
        <x:v>0</x:v>
      </x:c>
      <x:c r="AP42" s="11" t="n">
        <x:v>0</x:v>
      </x:c>
      <x:c r="AQ42" s="11" t="n">
        <x:v>0</x:v>
      </x:c>
      <x:c r="AR42" s="11" t="n">
        <x:v>0</x:v>
      </x:c>
      <x:c r="AS42" s="11" t="n">
        <x:v>0</x:v>
      </x:c>
      <x:c r="AT42" s="11" t="n">
        <x:v>0</x:v>
      </x:c>
      <x:c r="AU42" s="11" t="n">
        <x:v>0</x:v>
      </x:c>
      <x:c r="AV42" s="4" t="inlineStr">
        <x:is>
          <x:t xml:space="preserve"/>
        </x:is>
      </x:c>
      <x:c r="AW42" s="4" t="inlineStr">
        <x:is>
          <x:t xml:space="preserve">Complete for all raw variables in 2015–2017</x:t>
        </x:is>
      </x:c>
    </x:row>
    <x:row r="43">
      <x:c r="A43" s="11" t="inlineStr">
        <x:is>
          <x:t xml:space="preserve">Senegal</x:t>
        </x:is>
      </x:c>
      <x:c r="B43" s="11" t="inlineStr">
        <x:is>
          <x:t xml:space="preserve">塞内加尔</x:t>
        </x:is>
      </x:c>
      <x:c r="C43" s="11" t="inlineStr">
        <x:is>
          <x:t xml:space="preserve">SEN</x:t>
        </x:is>
      </x:c>
      <x:c r="D43" s="11" t="inlineStr">
        <x:is>
          <x:t xml:space="preserve">Lagging</x:t>
        </x:is>
      </x:c>
      <x:c r="E43" s="4" t="inlineStr">
        <x:is>
          <x:t xml:space="preserve">Transition-Constrained Archetype</x:t>
        </x:is>
      </x:c>
      <x:c r="F43" s="4" t="inlineStr">
        <x:is>
          <x:t xml:space="preserve">Boundary-sensitive</x:t>
        </x:is>
      </x:c>
      <x:c r="G43" s="11" t="inlineStr">
        <x:is>
          <x:t xml:space="preserve">**</x:t>
        </x:is>
      </x:c>
      <x:c r="H43" s="12" t="n">
        <x:v>-0.1627129</x:v>
      </x:c>
      <x:c r="I43" s="12" t="n">
        <x:v>-0.184756</x:v>
      </x:c>
      <x:c r="J43" s="12" t="n">
        <x:v>-0.029733</x:v>
      </x:c>
      <x:c r="K43" s="12" t="n">
        <x:f>IF(COUNT(H43:J43)=3,AVERAGE(H43:J43),"")</x:f>
        <x:v>-0.12573396666666667</x:v>
      </x:c>
      <x:c r="L43" s="12" t="n">
        <x:v>-0.0746024</x:v>
      </x:c>
      <x:c r="M43" s="12" t="n">
        <x:v>-0.2221016</x:v>
      </x:c>
      <x:c r="N43" s="12" t="n">
        <x:v>-0.1422197</x:v>
      </x:c>
      <x:c r="O43" s="12" t="n">
        <x:f>IF(COUNT(L43:N43)=3,AVERAGE(L43:N43),"")</x:f>
        <x:v>-0.14630790000000002</x:v>
      </x:c>
      <x:c r="P43" s="13" t="n">
        <x:v>17774766696.1759</x:v>
      </x:c>
      <x:c r="Q43" s="13" t="n">
        <x:v>19040312333.18638</x:v>
      </x:c>
      <x:c r="R43" s="13" t="n">
        <x:v>20965069572.71675</x:v>
      </x:c>
      <x:c r="S43" s="13" t="n">
        <x:f>IF(COUNT(P43:R43)=3,AVERAGE(P43:R43),"")</x:f>
        <x:v>19260049534.02634</x:v>
      </x:c>
      <x:c r="T43" s="13" t="n">
        <x:v>1218.006135554377</x:v>
      </x:c>
      <x:c r="U43" s="13" t="n">
        <x:v>1266.439571515872</x:v>
      </x:c>
      <x:c r="V43" s="13" t="n">
        <x:v>1354.770071933868</x:v>
      </x:c>
      <x:c r="W43" s="13" t="n">
        <x:f>IF(COUNT(T43:V43)=3,AVERAGE(T43:V43),"")</x:f>
        <x:v>1279.7385930013725</x:v>
      </x:c>
      <x:c r="X43" s="12" t="n">
        <x:v>0</x:v>
      </x:c>
      <x:c r="Y43" s="12" t="n">
        <x:v>0</x:v>
      </x:c>
      <x:c r="Z43" s="12" t="n">
        <x:v>0</x:v>
      </x:c>
      <x:c r="AA43" s="12" t="n">
        <x:f>IF(COUNT(X43:Z43)=3,AVERAGE(X43:Z43),"")</x:f>
        <x:v>0</x:v>
      </x:c>
      <x:c r="AB43" s="12" t="n">
        <x:v>0.007995300910983169</x:v>
      </x:c>
      <x:c r="AC43" s="12" t="n">
        <x:v>0.00461921847587483</x:v>
      </x:c>
      <x:c r="AD43" s="12" t="n">
        <x:v>0.00438609604403223</x:v>
      </x:c>
      <x:c r="AE43" s="12" t="n">
        <x:f>IF(COUNT(AB43:AD43)=3,AVERAGE(AB43:AD43),"")</x:f>
        <x:v>0.005666871810296743</x:v>
      </x:c>
      <x:c r="AF43" s="12" t="n">
        <x:v>0</x:v>
      </x:c>
      <x:c r="AG43" s="12" t="n">
        <x:v>0</x:v>
      </x:c>
      <x:c r="AH43" s="12" t="n">
        <x:v>0</x:v>
      </x:c>
      <x:c r="AI43" s="12" t="n">
        <x:f>IF(COUNT(AF43:AH43)=3,AVERAGE(AF43:AH43),"")</x:f>
        <x:v>0</x:v>
      </x:c>
      <x:c r="AJ43" s="12" t="n">
        <x:f>IF(COUNT(X43,AB43,AF43)=3,SUM(X43,AB43,AF43),"")</x:f>
        <x:v>0.00799530091098317</x:v>
      </x:c>
      <x:c r="AK43" s="12" t="n">
        <x:f>IF(COUNT(Y43,AC43,AG43)=3,SUM(Y43,AC43,AG43),"")</x:f>
        <x:v>0.00461921847587483</x:v>
      </x:c>
      <x:c r="AL43" s="12" t="n">
        <x:f>IF(COUNT(Z43,AD43,AH43)=3,SUM(Z43,AD43,AH43),"")</x:f>
        <x:v>0.00438609604403223</x:v>
      </x:c>
      <x:c r="AM43" s="12" t="n">
        <x:f>IF(COUNT(AJ43:AL43)=3,AVERAGE(AJ43:AL43),"")</x:f>
        <x:v>0.005666871810296743</x:v>
      </x:c>
      <x:c r="AN43" s="11" t="n">
        <x:v>0</x:v>
      </x:c>
      <x:c r="AO43" s="11" t="n">
        <x:v>0</x:v>
      </x:c>
      <x:c r="AP43" s="11" t="n">
        <x:v>0</x:v>
      </x:c>
      <x:c r="AQ43" s="11" t="n">
        <x:v>0</x:v>
      </x:c>
      <x:c r="AR43" s="11" t="n">
        <x:v>0</x:v>
      </x:c>
      <x:c r="AS43" s="11" t="n">
        <x:v>0</x:v>
      </x:c>
      <x:c r="AT43" s="11" t="n">
        <x:v>0</x:v>
      </x:c>
      <x:c r="AU43" s="11" t="n">
        <x:v>0</x:v>
      </x:c>
      <x:c r="AV43" s="4" t="inlineStr">
        <x:is>
          <x:t xml:space="preserve"/>
        </x:is>
      </x:c>
      <x:c r="AW43" s="4" t="inlineStr">
        <x:is>
          <x:t xml:space="preserve">Complete for all raw variables in 2015–2017</x:t>
        </x:is>
      </x:c>
    </x:row>
    <x:row r="44">
      <x:c r="A44" s="11" t="inlineStr">
        <x:is>
          <x:t xml:space="preserve">Seychelles</x:t>
        </x:is>
      </x:c>
      <x:c r="B44" s="11" t="inlineStr">
        <x:is>
          <x:t xml:space="preserve">塞舌尔</x:t>
        </x:is>
      </x:c>
      <x:c r="C44" s="11" t="inlineStr">
        <x:is>
          <x:t xml:space="preserve">SYC</x:t>
        </x:is>
      </x:c>
      <x:c r="D44" s="11" t="inlineStr">
        <x:is>
          <x:t xml:space="preserve">Lagging</x:t>
        </x:is>
      </x:c>
      <x:c r="E44" s="4" t="inlineStr">
        <x:is>
          <x:t xml:space="preserve">Transition-Constrained Archetype</x:t>
        </x:is>
      </x:c>
      <x:c r="F44" s="4" t="inlineStr">
        <x:is>
          <x:t xml:space="preserve">High stability</x:t>
        </x:is>
      </x:c>
      <x:c r="G44" s="11" t="n"/>
      <x:c r="H44" s="12" t="n">
        <x:v>0.6575774999999999</x:v>
      </x:c>
      <x:c r="I44" s="12" t="n">
        <x:v>0.8131033999999999</x:v>
      </x:c>
      <x:c r="J44" s="12" t="n">
        <x:v>0.6187826</x:v>
      </x:c>
      <x:c r="K44" s="12" t="n">
        <x:f>IF(COUNT(H44:J44)=3,AVERAGE(H44:J44),"")</x:f>
        <x:v>0.6964878333333333</x:v>
      </x:c>
      <x:c r="L44" s="12" t="n">
        <x:v>0.7647495</x:v>
      </x:c>
      <x:c r="M44" s="12" t="n">
        <x:v>0.7625993999999999</x:v>
      </x:c>
      <x:c r="N44" s="12" t="n">
        <x:v>0.813523</x:v>
      </x:c>
      <x:c r="O44" s="12" t="n">
        <x:f>IF(COUNT(L44:N44)=3,AVERAGE(L44:N44),"")</x:f>
        <x:v>0.7802906333333333</x:v>
      </x:c>
      <x:c r="P44" s="13" t="n">
        <x:v>1432403352.129443</x:v>
      </x:c>
      <x:c r="Q44" s="13" t="n">
        <x:v>1568513348.144625</x:v>
      </x:c>
      <x:c r="R44" s="13" t="n">
        <x:v>1675370641.014162</x:v>
      </x:c>
      <x:c r="S44" s="13" t="n">
        <x:f>IF(COUNT(P44:R44)=3,AVERAGE(P44:R44),"")</x:f>
        <x:v>1558762447.0960767</x:v>
      </x:c>
      <x:c r="T44" s="13" t="n">
        <x:v>15333.10517271051</x:v>
      </x:c>
      <x:c r="U44" s="13" t="n">
        <x:v>16566.99460422939</x:v>
      </x:c>
      <x:c r="V44" s="13" t="n">
        <x:v>17480.36519113719</x:v>
      </x:c>
      <x:c r="W44" s="13" t="n">
        <x:f>IF(COUNT(T44:V44)=3,AVERAGE(T44:V44),"")</x:f>
        <x:v>16460.154989359027</x:v>
      </x:c>
      <x:c r="X44" s="12" t="n">
        <x:v>0</x:v>
      </x:c>
      <x:c r="Y44" s="12" t="n">
        <x:v>0</x:v>
      </x:c>
      <x:c r="Z44" s="12" t="n">
        <x:v>0</x:v>
      </x:c>
      <x:c r="AA44" s="12" t="n">
        <x:f>IF(COUNT(X44:Z44)=3,AVERAGE(X44:Z44),"")</x:f>
        <x:v>0</x:v>
      </x:c>
      <x:c r="AB44" s="12" t="n">
        <x:v>0</x:v>
      </x:c>
      <x:c r="AC44" s="12" t="n">
        <x:v>0</x:v>
      </x:c>
      <x:c r="AD44" s="12" t="n">
        <x:v>0</x:v>
      </x:c>
      <x:c r="AE44" s="12" t="n">
        <x:f>IF(COUNT(AB44:AD44)=3,AVERAGE(AB44:AD44),"")</x:f>
        <x:v>0</x:v>
      </x:c>
      <x:c r="AF44" s="12" t="n">
        <x:v>0</x:v>
      </x:c>
      <x:c r="AG44" s="12" t="n">
        <x:v>0</x:v>
      </x:c>
      <x:c r="AH44" s="12" t="n">
        <x:v>0</x:v>
      </x:c>
      <x:c r="AI44" s="12" t="n">
        <x:f>IF(COUNT(AF44:AH44)=3,AVERAGE(AF44:AH44),"")</x:f>
        <x:v>0</x:v>
      </x:c>
      <x:c r="AJ44" s="12" t="n">
        <x:f>IF(COUNT(X44,AB44,AF44)=3,SUM(X44,AB44,AF44),"")</x:f>
        <x:v>0</x:v>
      </x:c>
      <x:c r="AK44" s="12" t="n">
        <x:f>IF(COUNT(Y44,AC44,AG44)=3,SUM(Y44,AC44,AG44),"")</x:f>
        <x:v>0</x:v>
      </x:c>
      <x:c r="AL44" s="12" t="n">
        <x:f>IF(COUNT(Z44,AD44,AH44)=3,SUM(Z44,AD44,AH44),"")</x:f>
        <x:v>0</x:v>
      </x:c>
      <x:c r="AM44" s="12" t="n">
        <x:f>IF(COUNT(AJ44:AL44)=3,AVERAGE(AJ44:AL44),"")</x:f>
        <x:v>0</x:v>
      </x:c>
      <x:c r="AN44" s="11" t="n">
        <x:v>0</x:v>
      </x:c>
      <x:c r="AO44" s="11" t="n">
        <x:v>0</x:v>
      </x:c>
      <x:c r="AP44" s="11" t="n">
        <x:v>0</x:v>
      </x:c>
      <x:c r="AQ44" s="11" t="n">
        <x:v>0</x:v>
      </x:c>
      <x:c r="AR44" s="11" t="n">
        <x:v>0</x:v>
      </x:c>
      <x:c r="AS44" s="11" t="n">
        <x:v>0</x:v>
      </x:c>
      <x:c r="AT44" s="11" t="n">
        <x:v>0</x:v>
      </x:c>
      <x:c r="AU44" s="11" t="n">
        <x:v>0</x:v>
      </x:c>
      <x:c r="AV44" s="4" t="inlineStr">
        <x:is>
          <x:t xml:space="preserve"/>
        </x:is>
      </x:c>
      <x:c r="AW44" s="4" t="inlineStr">
        <x:is>
          <x:t xml:space="preserve">Complete for all raw variables in 2015–2017</x:t>
        </x:is>
      </x:c>
    </x:row>
    <x:row r="45">
      <x:c r="A45" s="11" t="inlineStr">
        <x:is>
          <x:t xml:space="preserve">Sierra Leone</x:t>
        </x:is>
      </x:c>
      <x:c r="B45" s="11" t="inlineStr">
        <x:is>
          <x:t xml:space="preserve">塞拉利昂</x:t>
        </x:is>
      </x:c>
      <x:c r="C45" s="11" t="inlineStr">
        <x:is>
          <x:t xml:space="preserve">SLE</x:t>
        </x:is>
      </x:c>
      <x:c r="D45" s="11" t="inlineStr">
        <x:is>
          <x:t xml:space="preserve">Lagging</x:t>
        </x:is>
      </x:c>
      <x:c r="E45" s="4" t="inlineStr">
        <x:is>
          <x:t xml:space="preserve">Transition-Constrained Archetype</x:t>
        </x:is>
      </x:c>
      <x:c r="F45" s="4" t="inlineStr">
        <x:is>
          <x:t xml:space="preserve">Moderate stability</x:t>
        </x:is>
      </x:c>
      <x:c r="G45" s="11" t="n"/>
      <x:c r="H45" s="12" t="n">
        <x:v>-1.1514848</x:v>
      </x:c>
      <x:c r="I45" s="12" t="n">
        <x:v>-1.0441405</x:v>
      </x:c>
      <x:c r="J45" s="12" t="n">
        <x:v>-1.0168171</x:v>
      </x:c>
      <x:c r="K45" s="12" t="n">
        <x:f>IF(COUNT(H45:J45)=3,AVERAGE(H45:J45),"")</x:f>
        <x:v>-1.0708141333333332</x:v>
      </x:c>
      <x:c r="L45" s="12" t="n">
        <x:v>-0.0242965</x:v>
      </x:c>
      <x:c r="M45" s="12" t="n">
        <x:v>-0.2703676</x:v>
      </x:c>
      <x:c r="N45" s="12" t="n">
        <x:v>-0.1470976</x:v>
      </x:c>
      <x:c r="O45" s="12" t="n">
        <x:f>IF(COUNT(L45:N45)=3,AVERAGE(L45:N45),"")</x:f>
        <x:v>-0.1472539</x:v>
      </x:c>
      <x:c r="P45" s="13" t="n">
        <x:v>6788352974.783295</x:v>
      </x:c>
      <x:c r="Q45" s="13" t="n">
        <x:v>6084297211.102173</x:v>
      </x:c>
      <x:c r="R45" s="13" t="n">
        <x:v>5749846528.480457</x:v>
      </x:c>
      <x:c r="S45" s="13" t="n">
        <x:f>IF(COUNT(P45:R45)=3,AVERAGE(P45:R45),"")</x:f>
        <x:v>6207498904.788642</x:v>
      </x:c>
      <x:c r="T45" s="13" t="n">
        <x:v>964.5759808889885</x:v>
      </x:c>
      <x:c r="U45" s="13" t="n">
        <x:v>844.4164111754764</x:v>
      </x:c>
      <x:c r="V45" s="13" t="n">
        <x:v>779.1860078417283</x:v>
      </x:c>
      <x:c r="W45" s="13" t="n">
        <x:f>IF(COUNT(T45:V45)=3,AVERAGE(T45:V45),"")</x:f>
        <x:v>862.7261333020643</x:v>
      </x:c>
      <x:c r="X45" s="12" t="n">
        <x:v>0</x:v>
      </x:c>
      <x:c r="Y45" s="12" t="n">
        <x:v>0</x:v>
      </x:c>
      <x:c r="Z45" s="12" t="n">
        <x:v>0</x:v>
      </x:c>
      <x:c r="AA45" s="12" t="n">
        <x:f>IF(COUNT(X45:Z45)=3,AVERAGE(X45:Z45),"")</x:f>
        <x:v>0</x:v>
      </x:c>
      <x:c r="AB45" s="12" t="n"/>
      <x:c r="AC45" s="12" t="n"/>
      <x:c r="AD45" s="12" t="n"/>
      <x:c r="AE45" s="12" t="str">
        <x:f>IF(COUNT(AB45:AD45)=3,AVERAGE(AB45:AD45),"")</x:f>
      </x:c>
      <x:c r="AF45" s="12" t="n">
        <x:v>0</x:v>
      </x:c>
      <x:c r="AG45" s="12" t="n">
        <x:v>0</x:v>
      </x:c>
      <x:c r="AH45" s="12" t="n">
        <x:v>0</x:v>
      </x:c>
      <x:c r="AI45" s="12" t="n">
        <x:f>IF(COUNT(AF45:AH45)=3,AVERAGE(AF45:AH45),"")</x:f>
        <x:v>0</x:v>
      </x:c>
      <x:c r="AJ45" s="12" t="str">
        <x:f>IF(COUNT(X45,AB45,AF45)=3,SUM(X45,AB45,AF45),"")</x:f>
      </x:c>
      <x:c r="AK45" s="12" t="str">
        <x:f>IF(COUNT(Y45,AC45,AG45)=3,SUM(Y45,AC45,AG45),"")</x:f>
      </x:c>
      <x:c r="AL45" s="12" t="str">
        <x:f>IF(COUNT(Z45,AD45,AH45)=3,SUM(Z45,AD45,AH45),"")</x:f>
      </x:c>
      <x:c r="AM45" s="12" t="str">
        <x:f>IF(COUNT(AJ45:AL45)=3,AVERAGE(AJ45:AL45),"")</x:f>
      </x:c>
      <x:c r="AN45" s="11" t="n">
        <x:v>0</x:v>
      </x:c>
      <x:c r="AO45" s="11" t="n">
        <x:v>0</x:v>
      </x:c>
      <x:c r="AP45" s="11" t="n">
        <x:v>0</x:v>
      </x:c>
      <x:c r="AQ45" s="11" t="n">
        <x:v>0</x:v>
      </x:c>
      <x:c r="AR45" s="11" t="n">
        <x:v>0</x:v>
      </x:c>
      <x:c r="AS45" s="11" t="n">
        <x:v>3</x:v>
      </x:c>
      <x:c r="AT45" s="11" t="n">
        <x:v>0</x:v>
      </x:c>
      <x:c r="AU45" s="11" t="n">
        <x:v>3</x:v>
      </x:c>
      <x:c r="AV45" s="4" t="inlineStr">
        <x:is>
          <x:t xml:space="preserve">GasRent:2015,2016,2017</x:t>
        </x:is>
      </x:c>
      <x:c r="AW45" s="4" t="inlineStr">
        <x:is>
          <x:t xml:space="preserve">Source blanks retained; no imputation / no blank-to-zero recoding</x:t>
        </x:is>
      </x:c>
    </x:row>
    <x:row r="46">
      <x:c r="A46" s="11" t="inlineStr">
        <x:is>
          <x:t xml:space="preserve">Somalia</x:t>
        </x:is>
      </x:c>
      <x:c r="B46" s="11" t="inlineStr">
        <x:is>
          <x:t xml:space="preserve">索马里</x:t>
        </x:is>
      </x:c>
      <x:c r="C46" s="11" t="inlineStr">
        <x:is>
          <x:t xml:space="preserve">SOM</x:t>
        </x:is>
      </x:c>
      <x:c r="D46" s="11" t="inlineStr">
        <x:is>
          <x:t xml:space="preserve">Lagging</x:t>
        </x:is>
      </x:c>
      <x:c r="E46" s="4" t="inlineStr">
        <x:is>
          <x:t xml:space="preserve">Transition-Constrained Archetype</x:t>
        </x:is>
      </x:c>
      <x:c r="F46" s="4" t="inlineStr">
        <x:is>
          <x:t xml:space="preserve">High stability</x:t>
        </x:is>
      </x:c>
      <x:c r="G46" s="11" t="n"/>
      <x:c r="H46" s="12" t="n">
        <x:v>-2.050969</x:v>
      </x:c>
      <x:c r="I46" s="12" t="n">
        <x:v>-1.9766562</x:v>
      </x:c>
      <x:c r="J46" s="12" t="n">
        <x:v>-2.0010028</x:v>
      </x:c>
      <x:c r="K46" s="12" t="n">
        <x:f>IF(COUNT(H46:J46)=3,AVERAGE(H46:J46),"")</x:f>
        <x:v>-2.009542666666667</x:v>
      </x:c>
      <x:c r="L46" s="12" t="n">
        <x:v>-2.2815589</x:v>
      </x:c>
      <x:c r="M46" s="12" t="n">
        <x:v>-2.2701767</x:v>
      </x:c>
      <x:c r="N46" s="12" t="n">
        <x:v>-2.022776</x:v>
      </x:c>
      <x:c r="O46" s="12" t="n">
        <x:f>IF(COUNT(L46:N46)=3,AVERAGE(L46:N46),"")</x:f>
        <x:v>-2.1915038666666664</x:v>
      </x:c>
      <x:c r="P46" s="13" t="n">
        <x:v>6152149099.999415</x:v>
      </x:c>
      <x:c r="Q46" s="13" t="n">
        <x:v>6613743069.999124</x:v>
      </x:c>
      <x:c r="R46" s="13" t="n">
        <x:v>7621501710.001204</x:v>
      </x:c>
      <x:c r="S46" s="13" t="n">
        <x:f>IF(COUNT(P46:R46)=3,AVERAGE(P46:R46),"")</x:f>
        <x:v>6795797959.999913</x:v>
      </x:c>
      <x:c r="T46" s="13" t="n">
        <x:v>445.583080073396</x:v>
      </x:c>
      <x:c r="U46" s="13" t="n">
        <x:v>460.928490585175</x:v>
      </x:c>
      <x:c r="V46" s="13" t="n">
        <x:v>510.9399523177257</x:v>
      </x:c>
      <x:c r="W46" s="13" t="n">
        <x:f>IF(COUNT(T46:V46)=3,AVERAGE(T46:V46),"")</x:f>
        <x:v>472.4838409920989</x:v>
      </x:c>
      <x:c r="X46" s="12" t="n">
        <x:v>0</x:v>
      </x:c>
      <x:c r="Y46" s="12" t="n">
        <x:v>0</x:v>
      </x:c>
      <x:c r="Z46" s="12" t="n">
        <x:v>0</x:v>
      </x:c>
      <x:c r="AA46" s="12" t="n">
        <x:f>IF(COUNT(X46:Z46)=3,AVERAGE(X46:Z46),"")</x:f>
        <x:v>0</x:v>
      </x:c>
      <x:c r="AB46" s="12" t="n">
        <x:v>0</x:v>
      </x:c>
      <x:c r="AC46" s="12" t="n">
        <x:v>0</x:v>
      </x:c>
      <x:c r="AD46" s="12" t="n">
        <x:v>0</x:v>
      </x:c>
      <x:c r="AE46" s="12" t="n">
        <x:f>IF(COUNT(AB46:AD46)=3,AVERAGE(AB46:AD46),"")</x:f>
        <x:v>0</x:v>
      </x:c>
      <x:c r="AF46" s="12" t="n">
        <x:v>0</x:v>
      </x:c>
      <x:c r="AG46" s="12" t="n">
        <x:v>0</x:v>
      </x:c>
      <x:c r="AH46" s="12" t="n">
        <x:v>0</x:v>
      </x:c>
      <x:c r="AI46" s="12" t="n">
        <x:f>IF(COUNT(AF46:AH46)=3,AVERAGE(AF46:AH46),"")</x:f>
        <x:v>0</x:v>
      </x:c>
      <x:c r="AJ46" s="12" t="n">
        <x:f>IF(COUNT(X46,AB46,AF46)=3,SUM(X46,AB46,AF46),"")</x:f>
        <x:v>0</x:v>
      </x:c>
      <x:c r="AK46" s="12" t="n">
        <x:f>IF(COUNT(Y46,AC46,AG46)=3,SUM(Y46,AC46,AG46),"")</x:f>
        <x:v>0</x:v>
      </x:c>
      <x:c r="AL46" s="12" t="n">
        <x:f>IF(COUNT(Z46,AD46,AH46)=3,SUM(Z46,AD46,AH46),"")</x:f>
        <x:v>0</x:v>
      </x:c>
      <x:c r="AM46" s="12" t="n">
        <x:f>IF(COUNT(AJ46:AL46)=3,AVERAGE(AJ46:AL46),"")</x:f>
        <x:v>0</x:v>
      </x:c>
      <x:c r="AN46" s="11" t="n">
        <x:v>0</x:v>
      </x:c>
      <x:c r="AO46" s="11" t="n">
        <x:v>0</x:v>
      </x:c>
      <x:c r="AP46" s="11" t="n">
        <x:v>0</x:v>
      </x:c>
      <x:c r="AQ46" s="11" t="n">
        <x:v>0</x:v>
      </x:c>
      <x:c r="AR46" s="11" t="n">
        <x:v>0</x:v>
      </x:c>
      <x:c r="AS46" s="11" t="n">
        <x:v>0</x:v>
      </x:c>
      <x:c r="AT46" s="11" t="n">
        <x:v>0</x:v>
      </x:c>
      <x:c r="AU46" s="11" t="n">
        <x:v>0</x:v>
      </x:c>
      <x:c r="AV46" s="4" t="inlineStr">
        <x:is>
          <x:t xml:space="preserve"/>
        </x:is>
      </x:c>
      <x:c r="AW46" s="4" t="inlineStr">
        <x:is>
          <x:t xml:space="preserve">Complete for all raw variables in 2015–2017</x:t>
        </x:is>
      </x:c>
    </x:row>
    <x:row r="47">
      <x:c r="A47" s="11" t="inlineStr">
        <x:is>
          <x:t xml:space="preserve">South Africa</x:t>
        </x:is>
      </x:c>
      <x:c r="B47" s="11" t="inlineStr">
        <x:is>
          <x:t xml:space="preserve">南非</x:t>
        </x:is>
      </x:c>
      <x:c r="C47" s="11" t="inlineStr">
        <x:is>
          <x:t xml:space="preserve">ZAF</x:t>
        </x:is>
      </x:c>
      <x:c r="D47" s="11" t="inlineStr">
        <x:is>
          <x:t xml:space="preserve">Leading</x:t>
        </x:is>
      </x:c>
      <x:c r="E47" s="4" t="inlineStr">
        <x:is>
          <x:t xml:space="preserve">Scale-and-Momentum Leadership Archetype</x:t>
        </x:is>
      </x:c>
      <x:c r="F47" s="4" t="inlineStr">
        <x:is>
          <x:t xml:space="preserve">High stability</x:t>
        </x:is>
      </x:c>
      <x:c r="G47" s="11" t="n"/>
      <x:c r="H47" s="12" t="n">
        <x:v>0.2444848</x:v>
      </x:c>
      <x:c r="I47" s="12" t="n">
        <x:v>0.2013163</x:v>
      </x:c>
      <x:c r="J47" s="12" t="n">
        <x:v>0.2227717</x:v>
      </x:c>
      <x:c r="K47" s="12" t="n">
        <x:f>IF(COUNT(H47:J47)=3,AVERAGE(H47:J47),"")</x:f>
        <x:v>0.2228576</x:v>
      </x:c>
      <x:c r="L47" s="12" t="n">
        <x:v>-0.3104761</x:v>
      </x:c>
      <x:c r="M47" s="12" t="n">
        <x:v>-0.3379116</x:v>
      </x:c>
      <x:c r="N47" s="12" t="n">
        <x:v>-0.3828321</x:v>
      </x:c>
      <x:c r="O47" s="12" t="n">
        <x:f>IF(COUNT(L47:N47)=3,AVERAGE(L47:N47),"")</x:f>
        <x:v>-0.34373993333333336</x:v>
      </x:c>
      <x:c r="P47" s="13" t="n">
        <x:v>346709790458.563</x:v>
      </x:c>
      <x:c r="Q47" s="13" t="n">
        <x:v>323585509674.4806</x:v>
      </x:c>
      <x:c r="R47" s="13" t="n">
        <x:v>381448814653.4564</x:v>
      </x:c>
      <x:c r="S47" s="13" t="n">
        <x:f>IF(COUNT(P47:R47)=3,AVERAGE(P47:R47),"")</x:f>
        <x:v>350581371595.5</x:v>
      </x:c>
      <x:c r="T47" s="13" t="n">
        <x:v>6112.273824859742</x:v>
      </x:c>
      <x:c r="U47" s="13" t="n">
        <x:v>5651.205851657492</x:v>
      </x:c>
      <x:c r="V47" s="13" t="n">
        <x:v>6618.335082557006</x:v>
      </x:c>
      <x:c r="W47" s="13" t="n">
        <x:f>IF(COUNT(T47:V47)=3,AVERAGE(T47:V47),"")</x:f>
        <x:v>6127.271586358079</x:v>
      </x:c>
      <x:c r="X47" s="12" t="n">
        <x:v>0.194337594746037</x:v>
      </x:c>
      <x:c r="Y47" s="12" t="n">
        <x:v>0.182131538345159</x:v>
      </x:c>
      <x:c r="Z47" s="12" t="n">
        <x:v>0.291332796001722</x:v>
      </x:c>
      <x:c r="AA47" s="12" t="n">
        <x:f>IF(COUNT(X47:Z47)=3,AVERAGE(X47:Z47),"")</x:f>
        <x:v>0.22260064303097268</x:v>
      </x:c>
      <x:c r="AB47" s="12" t="n">
        <x:v>0.0232937993610495</x:v>
      </x:c>
      <x:c r="AC47" s="12" t="n">
        <x:v>0.015336308509032</x:v>
      </x:c>
      <x:c r="AD47" s="12" t="n">
        <x:v>0.012735718818607</x:v>
      </x:c>
      <x:c r="AE47" s="12" t="n">
        <x:f>IF(COUNT(AB47:AD47)=3,AVERAGE(AB47:AD47),"")</x:f>
        <x:v>0.017121942229562835</x:v>
      </x:c>
      <x:c r="AF47" s="12" t="n">
        <x:v>1.49327521761507</x:v>
      </x:c>
      <x:c r="AG47" s="12" t="n">
        <x:v>1.80360544975257</x:v>
      </x:c>
      <x:c r="AH47" s="12" t="n">
        <x:v>2.06162694919848</x:v>
      </x:c>
      <x:c r="AI47" s="12" t="n">
        <x:f>IF(COUNT(AF47:AH47)=3,AVERAGE(AF47:AH47),"")</x:f>
        <x:v>1.7861692055220402</x:v>
      </x:c>
      <x:c r="AJ47" s="12" t="n">
        <x:f>IF(COUNT(X47,AB47,AF47)=3,SUM(X47,AB47,AF47),"")</x:f>
        <x:v>1.7109066117221565</x:v>
      </x:c>
      <x:c r="AK47" s="12" t="n">
        <x:f>IF(COUNT(Y47,AC47,AG47)=3,SUM(Y47,AC47,AG47),"")</x:f>
        <x:v>2.001073296606761</x:v>
      </x:c>
      <x:c r="AL47" s="12" t="n">
        <x:f>IF(COUNT(Z47,AD47,AH47)=3,SUM(Z47,AD47,AH47),"")</x:f>
        <x:v>2.3656954640188093</x:v>
      </x:c>
      <x:c r="AM47" s="12" t="n">
        <x:f>IF(COUNT(AJ47:AL47)=3,AVERAGE(AJ47:AL47),"")</x:f>
        <x:v>2.0258917907825755</x:v>
      </x:c>
      <x:c r="AN47" s="11" t="n">
        <x:v>0</x:v>
      </x:c>
      <x:c r="AO47" s="11" t="n">
        <x:v>0</x:v>
      </x:c>
      <x:c r="AP47" s="11" t="n">
        <x:v>0</x:v>
      </x:c>
      <x:c r="AQ47" s="11" t="n">
        <x:v>0</x:v>
      </x:c>
      <x:c r="AR47" s="11" t="n">
        <x:v>0</x:v>
      </x:c>
      <x:c r="AS47" s="11" t="n">
        <x:v>0</x:v>
      </x:c>
      <x:c r="AT47" s="11" t="n">
        <x:v>0</x:v>
      </x:c>
      <x:c r="AU47" s="11" t="n">
        <x:v>0</x:v>
      </x:c>
      <x:c r="AV47" s="4" t="inlineStr">
        <x:is>
          <x:t xml:space="preserve"/>
        </x:is>
      </x:c>
      <x:c r="AW47" s="4" t="inlineStr">
        <x:is>
          <x:t xml:space="preserve">Complete for all raw variables in 2015–2017</x:t>
        </x:is>
      </x:c>
    </x:row>
    <x:row r="48">
      <x:c r="A48" s="11" t="inlineStr">
        <x:is>
          <x:t xml:space="preserve">South Sudan</x:t>
        </x:is>
      </x:c>
      <x:c r="B48" s="11" t="inlineStr">
        <x:is>
          <x:t xml:space="preserve">南苏丹</x:t>
        </x:is>
      </x:c>
      <x:c r="C48" s="11" t="inlineStr">
        <x:is>
          <x:t xml:space="preserve">SSD</x:t>
        </x:is>
      </x:c>
      <x:c r="D48" s="11" t="inlineStr">
        <x:is>
          <x:t xml:space="preserve">Lagging</x:t>
        </x:is>
      </x:c>
      <x:c r="E48" s="4" t="inlineStr">
        <x:is>
          <x:t xml:space="preserve">Transition-Constrained Archetype</x:t>
        </x:is>
      </x:c>
      <x:c r="F48" s="4" t="inlineStr">
        <x:is>
          <x:t xml:space="preserve">High stability</x:t>
        </x:is>
      </x:c>
      <x:c r="G48" s="11" t="n"/>
      <x:c r="H48" s="12" t="n">
        <x:v>-1.981766</x:v>
      </x:c>
      <x:c r="I48" s="12" t="n">
        <x:v>-2.0530042</x:v>
      </x:c>
      <x:c r="J48" s="12" t="n">
        <x:v>-2.1382221</x:v>
      </x:c>
      <x:c r="K48" s="12" t="n">
        <x:f>IF(COUNT(H48:J48)=3,AVERAGE(H48:J48),"")</x:f>
        <x:v>-2.0576641</x:v>
      </x:c>
      <x:c r="L48" s="12" t="n">
        <x:v>-2.2792733</x:v>
      </x:c>
      <x:c r="M48" s="12" t="n">
        <x:v>-2.33343</x:v>
      </x:c>
      <x:c r="N48" s="12" t="n">
        <x:v>-2.445552</x:v>
      </x:c>
      <x:c r="O48" s="12" t="n">
        <x:f>IF(COUNT(L48:N48)=3,AVERAGE(L48:N48),"")</x:f>
        <x:v>-2.3527517666666666</x:v>
      </x:c>
      <x:c r="P48" s="13" t="n">
        <x:v>11997800760.22418</x:v>
      </x:c>
      <x:c r="Q48" s="13" t="n"/>
      <x:c r="R48" s="13" t="n"/>
      <x:c r="S48" s="13" t="str">
        <x:f>IF(COUNT(P48:R48)=3,AVERAGE(P48:R48),"")</x:f>
      </x:c>
      <x:c r="T48" s="13" t="n">
        <x:v>1080.147186247654</x:v>
      </x:c>
      <x:c r="U48" s="13" t="n"/>
      <x:c r="V48" s="13" t="n"/>
      <x:c r="W48" s="13" t="str">
        <x:f>IF(COUNT(T48:V48)=3,AVERAGE(T48:V48),"")</x:f>
      </x:c>
      <x:c r="X48" s="12" t="n">
        <x:v>10.3913729191421</x:v>
      </x:c>
      <x:c r="Y48" s="12" t="n"/>
      <x:c r="Z48" s="12" t="n"/>
      <x:c r="AA48" s="12" t="str">
        <x:f>IF(COUNT(X48:Z48)=3,AVERAGE(X48:Z48),"")</x:f>
      </x:c>
      <x:c r="AB48" s="12" t="n">
        <x:v>0</x:v>
      </x:c>
      <x:c r="AC48" s="12" t="n"/>
      <x:c r="AD48" s="12" t="n"/>
      <x:c r="AE48" s="12" t="str">
        <x:f>IF(COUNT(AB48:AD48)=3,AVERAGE(AB48:AD48),"")</x:f>
      </x:c>
      <x:c r="AF48" s="12" t="n">
        <x:v>0</x:v>
      </x:c>
      <x:c r="AG48" s="12" t="n"/>
      <x:c r="AH48" s="12" t="n"/>
      <x:c r="AI48" s="12" t="str">
        <x:f>IF(COUNT(AF48:AH48)=3,AVERAGE(AF48:AH48),"")</x:f>
      </x:c>
      <x:c r="AJ48" s="12" t="n">
        <x:f>IF(COUNT(X48,AB48,AF48)=3,SUM(X48,AB48,AF48),"")</x:f>
        <x:v>10.3913729191421</x:v>
      </x:c>
      <x:c r="AK48" s="12" t="str">
        <x:f>IF(COUNT(Y48,AC48,AG48)=3,SUM(Y48,AC48,AG48),"")</x:f>
      </x:c>
      <x:c r="AL48" s="12" t="str">
        <x:f>IF(COUNT(Z48,AD48,AH48)=3,SUM(Z48,AD48,AH48),"")</x:f>
      </x:c>
      <x:c r="AM48" s="12" t="str">
        <x:f>IF(COUNT(AJ48:AL48)=3,AVERAGE(AJ48:AL48),"")</x:f>
      </x:c>
      <x:c r="AN48" s="11" t="n">
        <x:v>0</x:v>
      </x:c>
      <x:c r="AO48" s="11" t="n">
        <x:v>0</x:v>
      </x:c>
      <x:c r="AP48" s="11" t="n">
        <x:v>2</x:v>
      </x:c>
      <x:c r="AQ48" s="11" t="n">
        <x:v>2</x:v>
      </x:c>
      <x:c r="AR48" s="11" t="n">
        <x:v>2</x:v>
      </x:c>
      <x:c r="AS48" s="11" t="n">
        <x:v>2</x:v>
      </x:c>
      <x:c r="AT48" s="11" t="n">
        <x:v>2</x:v>
      </x:c>
      <x:c r="AU48" s="11" t="n">
        <x:v>2</x:v>
      </x:c>
      <x:c r="AV48" s="4" t="inlineStr">
        <x:is>
          <x:t xml:space="preserve">GDP:2016,2017; GDPpc:2016,2017; OilRent:2016,2017; GasRent:2016,2017; CoalRent:2016,2017</x:t>
        </x:is>
      </x:c>
      <x:c r="AW48" s="4" t="inlineStr">
        <x:is>
          <x:t xml:space="preserve">Source blanks retained; no imputation / no blank-to-zero recoding</x:t>
        </x:is>
      </x:c>
    </x:row>
    <x:row r="49">
      <x:c r="A49" s="11" t="inlineStr">
        <x:is>
          <x:t xml:space="preserve">Sudan</x:t>
        </x:is>
      </x:c>
      <x:c r="B49" s="11" t="inlineStr">
        <x:is>
          <x:t xml:space="preserve">苏丹</x:t>
        </x:is>
      </x:c>
      <x:c r="C49" s="11" t="inlineStr">
        <x:is>
          <x:t xml:space="preserve">SDN</x:t>
        </x:is>
      </x:c>
      <x:c r="D49" s="11" t="inlineStr">
        <x:is>
          <x:t xml:space="preserve">Balancing</x:t>
        </x:is>
      </x:c>
      <x:c r="E49" s="4" t="inlineStr">
        <x:is>
          <x:t xml:space="preserve">System-Deepening Archetype</x:t>
        </x:is>
      </x:c>
      <x:c r="F49" s="4" t="inlineStr">
        <x:is>
          <x:t xml:space="preserve">High stability</x:t>
        </x:is>
      </x:c>
      <x:c r="G49" s="11" t="n"/>
      <x:c r="H49" s="12" t="n">
        <x:v>-1.29343</x:v>
      </x:c>
      <x:c r="I49" s="12" t="n">
        <x:v>-1.2725849</x:v>
      </x:c>
      <x:c r="J49" s="12" t="n">
        <x:v>-1.2418267</x:v>
      </x:c>
      <x:c r="K49" s="12" t="n">
        <x:f>IF(COUNT(H49:J49)=3,AVERAGE(H49:J49),"")</x:f>
        <x:v>-1.2692805333333332</x:v>
      </x:c>
      <x:c r="L49" s="12" t="n">
        <x:v>-2.0365601</x:v>
      </x:c>
      <x:c r="M49" s="12" t="n">
        <x:v>-2.1622544</x:v>
      </x:c>
      <x:c r="N49" s="12" t="n">
        <x:v>-1.9473364</x:v>
      </x:c>
      <x:c r="O49" s="12" t="n">
        <x:f>IF(COUNT(L49:N49)=3,AVERAGE(L49:N49),"")</x:f>
        <x:v>-2.048716966666667</x:v>
      </x:c>
      <x:c r="P49" s="13" t="n">
        <x:v>51726758676.76768</x:v>
      </x:c>
      <x:c r="Q49" s="13" t="n">
        <x:v>42630376000</x:v>
      </x:c>
      <x:c r="R49" s="13" t="n">
        <x:v>41283617976.19048</x:v>
      </x:c>
      <x:c r="S49" s="13" t="n">
        <x:f>IF(COUNT(P49:R49)=3,AVERAGE(P49:R49),"")</x:f>
        <x:v>45213584217.65272</x:v>
      </x:c>
      <x:c r="T49" s="13" t="n">
        <x:v>1292.37963867188</x:v>
      </x:c>
      <x:c r="U49" s="13" t="n">
        <x:v>1033.21594238281</x:v>
      </x:c>
      <x:c r="V49" s="13" t="n">
        <x:v>966.505676269531</x:v>
      </x:c>
      <x:c r="W49" s="13" t="n">
        <x:f>IF(COUNT(T49:V49)=3,AVERAGE(T49:V49),"")</x:f>
        <x:v>1097.3670857747404</x:v>
      </x:c>
      <x:c r="X49" s="12" t="n">
        <x:v>0.798069583603201</x:v>
      </x:c>
      <x:c r="Y49" s="12" t="n">
        <x:v>0.586718855776161</x:v>
      </x:c>
      <x:c r="Z49" s="12" t="n">
        <x:v>0.823819483095822</x:v>
      </x:c>
      <x:c r="AA49" s="12" t="n">
        <x:f>IF(COUNT(X49:Z49)=3,AVERAGE(X49:Z49),"")</x:f>
        <x:v>0.7362026408250614</x:v>
      </x:c>
      <x:c r="AB49" s="12" t="n">
        <x:v>0</x:v>
      </x:c>
      <x:c r="AC49" s="12" t="n">
        <x:v>0</x:v>
      </x:c>
      <x:c r="AD49" s="12" t="n">
        <x:v>0</x:v>
      </x:c>
      <x:c r="AE49" s="12" t="n">
        <x:f>IF(COUNT(AB49:AD49)=3,AVERAGE(AB49:AD49),"")</x:f>
        <x:v>0</x:v>
      </x:c>
      <x:c r="AF49" s="12" t="n">
        <x:v>0</x:v>
      </x:c>
      <x:c r="AG49" s="12" t="n">
        <x:v>0</x:v>
      </x:c>
      <x:c r="AH49" s="12" t="n">
        <x:v>0</x:v>
      </x:c>
      <x:c r="AI49" s="12" t="n">
        <x:f>IF(COUNT(AF49:AH49)=3,AVERAGE(AF49:AH49),"")</x:f>
        <x:v>0</x:v>
      </x:c>
      <x:c r="AJ49" s="12" t="n">
        <x:f>IF(COUNT(X49,AB49,AF49)=3,SUM(X49,AB49,AF49),"")</x:f>
        <x:v>0.798069583603201</x:v>
      </x:c>
      <x:c r="AK49" s="12" t="n">
        <x:f>IF(COUNT(Y49,AC49,AG49)=3,SUM(Y49,AC49,AG49),"")</x:f>
        <x:v>0.586718855776161</x:v>
      </x:c>
      <x:c r="AL49" s="12" t="n">
        <x:f>IF(COUNT(Z49,AD49,AH49)=3,SUM(Z49,AD49,AH49),"")</x:f>
        <x:v>0.823819483095822</x:v>
      </x:c>
      <x:c r="AM49" s="12" t="n">
        <x:f>IF(COUNT(AJ49:AL49)=3,AVERAGE(AJ49:AL49),"")</x:f>
        <x:v>0.7362026408250614</x:v>
      </x:c>
      <x:c r="AN49" s="11" t="n">
        <x:v>0</x:v>
      </x:c>
      <x:c r="AO49" s="11" t="n">
        <x:v>0</x:v>
      </x:c>
      <x:c r="AP49" s="11" t="n">
        <x:v>0</x:v>
      </x:c>
      <x:c r="AQ49" s="11" t="n">
        <x:v>0</x:v>
      </x:c>
      <x:c r="AR49" s="11" t="n">
        <x:v>0</x:v>
      </x:c>
      <x:c r="AS49" s="11" t="n">
        <x:v>0</x:v>
      </x:c>
      <x:c r="AT49" s="11" t="n">
        <x:v>0</x:v>
      </x:c>
      <x:c r="AU49" s="11" t="n">
        <x:v>0</x:v>
      </x:c>
      <x:c r="AV49" s="4" t="inlineStr">
        <x:is>
          <x:t xml:space="preserve"/>
        </x:is>
      </x:c>
      <x:c r="AW49" s="4" t="inlineStr">
        <x:is>
          <x:t xml:space="preserve">Complete for all raw variables in 2015–2017</x:t>
        </x:is>
      </x:c>
    </x:row>
    <x:row r="50">
      <x:c r="A50" s="11" t="inlineStr">
        <x:is>
          <x:t xml:space="preserve">United Republic of Tanzania</x:t>
        </x:is>
      </x:c>
      <x:c r="B50" s="11" t="inlineStr">
        <x:is>
          <x:t xml:space="preserve">坦桑尼亚</x:t>
        </x:is>
      </x:c>
      <x:c r="C50" s="11" t="inlineStr">
        <x:is>
          <x:t xml:space="preserve">TZA</x:t>
        </x:is>
      </x:c>
      <x:c r="D50" s="11" t="inlineStr">
        <x:is>
          <x:t xml:space="preserve">Leading</x:t>
        </x:is>
      </x:c>
      <x:c r="E50" s="4" t="inlineStr">
        <x:is>
          <x:t xml:space="preserve">Scale-and-Momentum Leadership Archetype</x:t>
        </x:is>
      </x:c>
      <x:c r="F50" s="4" t="inlineStr">
        <x:is>
          <x:t xml:space="preserve">Moderate stability</x:t>
        </x:is>
      </x:c>
      <x:c r="G50" s="11" t="n"/>
      <x:c r="H50" s="12" t="n">
        <x:v>-0.3870031</x:v>
      </x:c>
      <x:c r="I50" s="12" t="n">
        <x:v>-0.3515643</x:v>
      </x:c>
      <x:c r="J50" s="12" t="n">
        <x:v>-0.357548</x:v>
      </x:c>
      <x:c r="K50" s="12" t="n">
        <x:f>IF(COUNT(H50:J50)=3,AVERAGE(H50:J50),"")</x:f>
        <x:v>-0.36537179999999997</x:v>
      </x:c>
      <x:c r="L50" s="12" t="n">
        <x:v>-0.4767835</x:v>
      </x:c>
      <x:c r="M50" s="12" t="n">
        <x:v>-0.537573</x:v>
      </x:c>
      <x:c r="N50" s="12" t="n">
        <x:v>-0.6838297999999999</x:v>
      </x:c>
      <x:c r="O50" s="12" t="n">
        <x:f>IF(COUNT(L50:N50)=3,AVERAGE(L50:N50),"")</x:f>
        <x:v>-0.5660620999999999</x:v>
      </x:c>
      <x:c r="P50" s="13" t="n">
        <x:v>47413919817.12405</x:v>
      </x:c>
      <x:c r="Q50" s="13" t="n">
        <x:v>49774409374.45377</x:v>
      </x:c>
      <x:c r="R50" s="13" t="n">
        <x:v>53274884532.78861</x:v>
      </x:c>
      <x:c r="S50" s="13" t="n">
        <x:f>IF(COUNT(P50:R50)=3,AVERAGE(P50:R50),"")</x:f>
        <x:v>50154404574.78881</x:v>
      </x:c>
      <x:c r="T50" s="13" t="n">
        <x:v>939.127319335938</x:v>
      </x:c>
      <x:c r="U50" s="13" t="n">
        <x:v>953.0107421875</x:v>
      </x:c>
      <x:c r="V50" s="13" t="n">
        <x:v>986.674011230469</x:v>
      </x:c>
      <x:c r="W50" s="13" t="n">
        <x:f>IF(COUNT(T50:V50)=3,AVERAGE(T50:V50),"")</x:f>
        <x:v>959.6040242513023</x:v>
      </x:c>
      <x:c r="X50" s="12" t="n">
        <x:v>0</x:v>
      </x:c>
      <x:c r="Y50" s="12" t="n">
        <x:v>0</x:v>
      </x:c>
      <x:c r="Z50" s="12" t="n">
        <x:v>0</x:v>
      </x:c>
      <x:c r="AA50" s="12" t="n">
        <x:f>IF(COUNT(X50:Z50)=3,AVERAGE(X50:Z50),"")</x:f>
        <x:v>0</x:v>
      </x:c>
      <x:c r="AB50" s="12" t="n">
        <x:v>0.0958189291565574</x:v>
      </x:c>
      <x:c r="AC50" s="12" t="n">
        <x:v>0.08289725873781779</x:v>
      </x:c>
      <x:c r="AD50" s="12" t="n">
        <x:v>0.0996973020864147</x:v>
      </x:c>
      <x:c r="AE50" s="12" t="n">
        <x:f>IF(COUNT(AB50:AD50)=3,AVERAGE(AB50:AD50),"")</x:f>
        <x:v>0.0928044966602633</x:v>
      </x:c>
      <x:c r="AF50" s="12" t="n">
        <x:v>0.0118307165544839</x:v>
      </x:c>
      <x:c r="AG50" s="12" t="n">
        <x:v>0.0136027189325031</x:v>
      </x:c>
      <x:c r="AH50" s="12" t="n">
        <x:v>0.034308918609216</x:v>
      </x:c>
      <x:c r="AI50" s="12" t="n">
        <x:f>IF(COUNT(AF50:AH50)=3,AVERAGE(AF50:AH50),"")</x:f>
        <x:v>0.019914118032067666</x:v>
      </x:c>
      <x:c r="AJ50" s="12" t="n">
        <x:f>IF(COUNT(X50,AB50,AF50)=3,SUM(X50,AB50,AF50),"")</x:f>
        <x:v>0.1076496457110413</x:v>
      </x:c>
      <x:c r="AK50" s="12" t="n">
        <x:f>IF(COUNT(Y50,AC50,AG50)=3,SUM(Y50,AC50,AG50),"")</x:f>
        <x:v>0.0964999776703209</x:v>
      </x:c>
      <x:c r="AL50" s="12" t="n">
        <x:f>IF(COUNT(Z50,AD50,AH50)=3,SUM(Z50,AD50,AH50),"")</x:f>
        <x:v>0.1340062206956307</x:v>
      </x:c>
      <x:c r="AM50" s="12" t="n">
        <x:f>IF(COUNT(AJ50:AL50)=3,AVERAGE(AJ50:AL50),"")</x:f>
        <x:v>0.11271861469233097</x:v>
      </x:c>
      <x:c r="AN50" s="11" t="n">
        <x:v>0</x:v>
      </x:c>
      <x:c r="AO50" s="11" t="n">
        <x:v>0</x:v>
      </x:c>
      <x:c r="AP50" s="11" t="n">
        <x:v>0</x:v>
      </x:c>
      <x:c r="AQ50" s="11" t="n">
        <x:v>0</x:v>
      </x:c>
      <x:c r="AR50" s="11" t="n">
        <x:v>0</x:v>
      </x:c>
      <x:c r="AS50" s="11" t="n">
        <x:v>0</x:v>
      </x:c>
      <x:c r="AT50" s="11" t="n">
        <x:v>0</x:v>
      </x:c>
      <x:c r="AU50" s="11" t="n">
        <x:v>0</x:v>
      </x:c>
      <x:c r="AV50" s="4" t="inlineStr">
        <x:is>
          <x:t xml:space="preserve"/>
        </x:is>
      </x:c>
      <x:c r="AW50" s="4" t="inlineStr">
        <x:is>
          <x:t xml:space="preserve">Complete for all raw variables in 2015–2017</x:t>
        </x:is>
      </x:c>
    </x:row>
    <x:row r="51">
      <x:c r="A51" s="11" t="inlineStr">
        <x:is>
          <x:t xml:space="preserve">Togo</x:t>
        </x:is>
      </x:c>
      <x:c r="B51" s="11" t="inlineStr">
        <x:is>
          <x:t xml:space="preserve">多哥</x:t>
        </x:is>
      </x:c>
      <x:c r="C51" s="11" t="inlineStr">
        <x:is>
          <x:t xml:space="preserve">TGO</x:t>
        </x:is>
      </x:c>
      <x:c r="D51" s="11" t="inlineStr">
        <x:is>
          <x:t xml:space="preserve">Balancing</x:t>
        </x:is>
      </x:c>
      <x:c r="E51" s="4" t="inlineStr">
        <x:is>
          <x:t xml:space="preserve">System-Deepening Archetype</x:t>
        </x:is>
      </x:c>
      <x:c r="F51" s="4" t="inlineStr">
        <x:is>
          <x:t xml:space="preserve">High stability</x:t>
        </x:is>
      </x:c>
      <x:c r="G51" s="11" t="n"/>
      <x:c r="H51" s="12" t="n">
        <x:v>-1.0884773</x:v>
      </x:c>
      <x:c r="I51" s="12" t="n">
        <x:v>-0.9579704999999999</x:v>
      </x:c>
      <x:c r="J51" s="12" t="n">
        <x:v>-0.9832841</x:v>
      </x:c>
      <x:c r="K51" s="12" t="n">
        <x:f>IF(COUNT(H51:J51)=3,AVERAGE(H51:J51),"")</x:f>
        <x:v>-1.0099106333333334</x:v>
      </x:c>
      <x:c r="L51" s="12" t="n">
        <x:v>-0.411127</x:v>
      </x:c>
      <x:c r="M51" s="12" t="n">
        <x:v>-0.280199</x:v>
      </x:c>
      <x:c r="N51" s="12" t="n">
        <x:v>-0.8358783999999999</x:v>
      </x:c>
      <x:c r="O51" s="12" t="n">
        <x:f>IF(COUNT(L51:N51)=3,AVERAGE(L51:N51),"")</x:f>
        <x:v>-0.5090681333333333</x:v>
      </x:c>
      <x:c r="P51" s="13" t="n">
        <x:v>5755457836.018664</x:v>
      </x:c>
      <x:c r="Q51" s="13" t="n">
        <x:v>6071167584.195098</x:v>
      </x:c>
      <x:c r="R51" s="13" t="n">
        <x:v>6387424239.880101</x:v>
      </x:c>
      <x:c r="S51" s="13" t="n">
        <x:f>IF(COUNT(P51:R51)=3,AVERAGE(P51:R51),"")</x:f>
        <x:v>6071349886.697955</x:v>
      </x:c>
      <x:c r="T51" s="13" t="n">
        <x:v>813.8946769750845</x:v>
      </x:c>
      <x:c r="U51" s="13" t="n">
        <x:v>843.1142043386753</x:v>
      </x:c>
      <x:c r="V51" s="13" t="n">
        <x:v>872.0764088457519</x:v>
      </x:c>
      <x:c r="W51" s="13" t="n">
        <x:f>IF(COUNT(T51:V51)=3,AVERAGE(T51:V51),"")</x:f>
        <x:v>843.0284300531706</x:v>
      </x:c>
      <x:c r="X51" s="12" t="n">
        <x:v>0</x:v>
      </x:c>
      <x:c r="Y51" s="12" t="n">
        <x:v>0</x:v>
      </x:c>
      <x:c r="Z51" s="12" t="n">
        <x:v>0</x:v>
      </x:c>
      <x:c r="AA51" s="12" t="n">
        <x:f>IF(COUNT(X51:Z51)=3,AVERAGE(X51:Z51),"")</x:f>
        <x:v>0</x:v>
      </x:c>
      <x:c r="AB51" s="12" t="n">
        <x:v>0</x:v>
      </x:c>
      <x:c r="AC51" s="12" t="n">
        <x:v>0</x:v>
      </x:c>
      <x:c r="AD51" s="12" t="n">
        <x:v>0</x:v>
      </x:c>
      <x:c r="AE51" s="12" t="n">
        <x:f>IF(COUNT(AB51:AD51)=3,AVERAGE(AB51:AD51),"")</x:f>
        <x:v>0</x:v>
      </x:c>
      <x:c r="AF51" s="12" t="n">
        <x:v>0</x:v>
      </x:c>
      <x:c r="AG51" s="12" t="n">
        <x:v>0</x:v>
      </x:c>
      <x:c r="AH51" s="12" t="n">
        <x:v>0</x:v>
      </x:c>
      <x:c r="AI51" s="12" t="n">
        <x:f>IF(COUNT(AF51:AH51)=3,AVERAGE(AF51:AH51),"")</x:f>
        <x:v>0</x:v>
      </x:c>
      <x:c r="AJ51" s="12" t="n">
        <x:f>IF(COUNT(X51,AB51,AF51)=3,SUM(X51,AB51,AF51),"")</x:f>
        <x:v>0</x:v>
      </x:c>
      <x:c r="AK51" s="12" t="n">
        <x:f>IF(COUNT(Y51,AC51,AG51)=3,SUM(Y51,AC51,AG51),"")</x:f>
        <x:v>0</x:v>
      </x:c>
      <x:c r="AL51" s="12" t="n">
        <x:f>IF(COUNT(Z51,AD51,AH51)=3,SUM(Z51,AD51,AH51),"")</x:f>
        <x:v>0</x:v>
      </x:c>
      <x:c r="AM51" s="12" t="n">
        <x:f>IF(COUNT(AJ51:AL51)=3,AVERAGE(AJ51:AL51),"")</x:f>
        <x:v>0</x:v>
      </x:c>
      <x:c r="AN51" s="11" t="n">
        <x:v>0</x:v>
      </x:c>
      <x:c r="AO51" s="11" t="n">
        <x:v>0</x:v>
      </x:c>
      <x:c r="AP51" s="11" t="n">
        <x:v>0</x:v>
      </x:c>
      <x:c r="AQ51" s="11" t="n">
        <x:v>0</x:v>
      </x:c>
      <x:c r="AR51" s="11" t="n">
        <x:v>0</x:v>
      </x:c>
      <x:c r="AS51" s="11" t="n">
        <x:v>0</x:v>
      </x:c>
      <x:c r="AT51" s="11" t="n">
        <x:v>0</x:v>
      </x:c>
      <x:c r="AU51" s="11" t="n">
        <x:v>0</x:v>
      </x:c>
      <x:c r="AV51" s="4" t="inlineStr">
        <x:is>
          <x:t xml:space="preserve"/>
        </x:is>
      </x:c>
      <x:c r="AW51" s="4" t="inlineStr">
        <x:is>
          <x:t xml:space="preserve">Complete for all raw variables in 2015–2017</x:t>
        </x:is>
      </x:c>
    </x:row>
    <x:row r="52">
      <x:c r="A52" s="11" t="inlineStr">
        <x:is>
          <x:t xml:space="preserve">Tunisia</x:t>
        </x:is>
      </x:c>
      <x:c r="B52" s="11" t="inlineStr">
        <x:is>
          <x:t xml:space="preserve">突尼斯</x:t>
        </x:is>
      </x:c>
      <x:c r="C52" s="11" t="inlineStr">
        <x:is>
          <x:t xml:space="preserve">TUN</x:t>
        </x:is>
      </x:c>
      <x:c r="D52" s="11" t="inlineStr">
        <x:is>
          <x:t xml:space="preserve">Leading</x:t>
        </x:is>
      </x:c>
      <x:c r="E52" s="4" t="inlineStr">
        <x:is>
          <x:t xml:space="preserve">Scale-and-Momentum Leadership Archetype</x:t>
        </x:is>
      </x:c>
      <x:c r="F52" s="4" t="inlineStr">
        <x:is>
          <x:t xml:space="preserve">Boundary-sensitive</x:t>
        </x:is>
      </x:c>
      <x:c r="G52" s="11" t="inlineStr">
        <x:is>
          <x:t xml:space="preserve">**</x:t>
        </x:is>
      </x:c>
      <x:c r="H52" s="12" t="n">
        <x:v>-0.0139339</x:v>
      </x:c>
      <x:c r="I52" s="12" t="n">
        <x:v>-0.0573078</x:v>
      </x:c>
      <x:c r="J52" s="12" t="n">
        <x:v>0.0523774</x:v>
      </x:c>
      <x:c r="K52" s="12" t="n">
        <x:f>IF(COUNT(H52:J52)=3,AVERAGE(H52:J52),"")</x:f>
        <x:v>-0.006288100000000002</x:v>
      </x:c>
      <x:c r="L52" s="12" t="n">
        <x:v>-0.681206</x:v>
      </x:c>
      <x:c r="M52" s="12" t="n">
        <x:v>-0.8275855</x:v>
      </x:c>
      <x:c r="N52" s="12" t="n">
        <x:v>-0.7432926</x:v>
      </x:c>
      <x:c r="O52" s="12" t="n">
        <x:f>IF(COUNT(L52:N52)=3,AVERAGE(L52:N52),"")</x:f>
        <x:v>-0.7506947</x:v>
      </x:c>
      <x:c r="P52" s="13" t="n">
        <x:v>45779494041.92953</x:v>
      </x:c>
      <x:c r="Q52" s="13" t="n">
        <x:v>44360072680.44765</x:v>
      </x:c>
      <x:c r="R52" s="13" t="n">
        <x:v>42163530590.9462</x:v>
      </x:c>
      <x:c r="S52" s="13" t="n">
        <x:f>IF(COUNT(P52:R52)=3,AVERAGE(P52:R52),"")</x:f>
        <x:v>44101032437.77445</x:v>
      </x:c>
      <x:c r="T52" s="13" t="n">
        <x:v>4014.947736864322</x:v>
      </x:c>
      <x:c r="U52" s="13" t="n">
        <x:v>3847.803544488087</x:v>
      </x:c>
      <x:c r="V52" s="13" t="n">
        <x:v>3619.032473199532</x:v>
      </x:c>
      <x:c r="W52" s="13" t="n">
        <x:f>IF(COUNT(T52:V52)=3,AVERAGE(T52:V52),"")</x:f>
        <x:v>3827.2612515173137</x:v>
      </x:c>
      <x:c r="X52" s="12" t="n">
        <x:v>1.62596299660366</x:v>
      </x:c>
      <x:c r="Y52" s="12" t="n">
        <x:v>1.266744868786</x:v>
      </x:c>
      <x:c r="Z52" s="12" t="n">
        <x:v>1.48811485046411</x:v>
      </x:c>
      <x:c r="AA52" s="12" t="n">
        <x:f>IF(COUNT(X52:Z52)=3,AVERAGE(X52:Z52),"")</x:f>
        <x:v>1.4602742386179235</x:v>
      </x:c>
      <x:c r="AB52" s="12" t="n">
        <x:v>0.273682848307775</x:v>
      </x:c>
      <x:c r="AC52" s="12" t="n">
        <x:v>0.200869985868404</x:v>
      </x:c>
      <x:c r="AD52" s="12" t="n">
        <x:v>0.236433459699936</x:v>
      </x:c>
      <x:c r="AE52" s="12" t="n">
        <x:f>IF(COUNT(AB52:AD52)=3,AVERAGE(AB52:AD52),"")</x:f>
        <x:v>0.23699543129203834</x:v>
      </x:c>
      <x:c r="AF52" s="12" t="n">
        <x:v>0</x:v>
      </x:c>
      <x:c r="AG52" s="12" t="n">
        <x:v>0</x:v>
      </x:c>
      <x:c r="AH52" s="12" t="n">
        <x:v>0</x:v>
      </x:c>
      <x:c r="AI52" s="12" t="n">
        <x:f>IF(COUNT(AF52:AH52)=3,AVERAGE(AF52:AH52),"")</x:f>
        <x:v>0</x:v>
      </x:c>
      <x:c r="AJ52" s="12" t="n">
        <x:f>IF(COUNT(X52,AB52,AF52)=3,SUM(X52,AB52,AF52),"")</x:f>
        <x:v>1.899645844911435</x:v>
      </x:c>
      <x:c r="AK52" s="12" t="n">
        <x:f>IF(COUNT(Y52,AC52,AG52)=3,SUM(Y52,AC52,AG52),"")</x:f>
        <x:v>1.4676148546544039</x:v>
      </x:c>
      <x:c r="AL52" s="12" t="n">
        <x:f>IF(COUNT(Z52,AD52,AH52)=3,SUM(Z52,AD52,AH52),"")</x:f>
        <x:v>1.724548310164046</x:v>
      </x:c>
      <x:c r="AM52" s="12" t="n">
        <x:f>IF(COUNT(AJ52:AL52)=3,AVERAGE(AJ52:AL52),"")</x:f>
        <x:v>1.6972696699099616</x:v>
      </x:c>
      <x:c r="AN52" s="11" t="n">
        <x:v>0</x:v>
      </x:c>
      <x:c r="AO52" s="11" t="n">
        <x:v>0</x:v>
      </x:c>
      <x:c r="AP52" s="11" t="n">
        <x:v>0</x:v>
      </x:c>
      <x:c r="AQ52" s="11" t="n">
        <x:v>0</x:v>
      </x:c>
      <x:c r="AR52" s="11" t="n">
        <x:v>0</x:v>
      </x:c>
      <x:c r="AS52" s="11" t="n">
        <x:v>0</x:v>
      </x:c>
      <x:c r="AT52" s="11" t="n">
        <x:v>0</x:v>
      </x:c>
      <x:c r="AU52" s="11" t="n">
        <x:v>0</x:v>
      </x:c>
      <x:c r="AV52" s="4" t="inlineStr">
        <x:is>
          <x:t xml:space="preserve"/>
        </x:is>
      </x:c>
      <x:c r="AW52" s="4" t="inlineStr">
        <x:is>
          <x:t xml:space="preserve">Complete for all raw variables in 2015–2017</x:t>
        </x:is>
      </x:c>
    </x:row>
    <x:row r="53">
      <x:c r="A53" s="11" t="inlineStr">
        <x:is>
          <x:t xml:space="preserve">Uganda</x:t>
        </x:is>
      </x:c>
      <x:c r="B53" s="11" t="inlineStr">
        <x:is>
          <x:t xml:space="preserve">乌干达</x:t>
        </x:is>
      </x:c>
      <x:c r="C53" s="11" t="inlineStr">
        <x:is>
          <x:t xml:space="preserve">UGA</x:t>
        </x:is>
      </x:c>
      <x:c r="D53" s="11" t="inlineStr">
        <x:is>
          <x:t xml:space="preserve">Balancing</x:t>
        </x:is>
      </x:c>
      <x:c r="E53" s="4" t="inlineStr">
        <x:is>
          <x:t xml:space="preserve">System-Deepening Archetype</x:t>
        </x:is>
      </x:c>
      <x:c r="F53" s="4" t="inlineStr">
        <x:is>
          <x:t xml:space="preserve">High stability</x:t>
        </x:is>
      </x:c>
      <x:c r="G53" s="11" t="n"/>
      <x:c r="H53" s="12" t="n">
        <x:v>-0.3049149</x:v>
      </x:c>
      <x:c r="I53" s="12" t="n">
        <x:v>-0.378526</x:v>
      </x:c>
      <x:c r="J53" s="12" t="n">
        <x:v>-0.3645281</x:v>
      </x:c>
      <x:c r="K53" s="12" t="n">
        <x:f>IF(COUNT(H53:J53)=3,AVERAGE(H53:J53),"")</x:f>
        <x:v>-0.349323</x:v>
      </x:c>
      <x:c r="L53" s="12" t="n">
        <x:v>-0.7914315</x:v>
      </x:c>
      <x:c r="M53" s="12" t="n">
        <x:v>-0.8144743</x:v>
      </x:c>
      <x:c r="N53" s="12" t="n">
        <x:v>-0.6855171</x:v>
      </x:c>
      <x:c r="O53" s="12" t="n">
        <x:f>IF(COUNT(L53:N53)=3,AVERAGE(L53:N53),"")</x:f>
        <x:v>-0.7638076333333332</x:v>
      </x:c>
      <x:c r="P53" s="13" t="n">
        <x:v>32387183730.10015</x:v>
      </x:c>
      <x:c r="Q53" s="13" t="n">
        <x:v>29203988696.26262</x:v>
      </x:c>
      <x:c r="R53" s="13" t="n">
        <x:v>30744473841.42399</x:v>
      </x:c>
      <x:c r="S53" s="13" t="n">
        <x:f>IF(COUNT(P53:R53)=3,AVERAGE(P53:R53),"")</x:f>
        <x:v>30778548755.92892</x:v>
      </x:c>
      <x:c r="T53" s="13" t="n">
        <x:v>862.9346103558107</x:v>
      </x:c>
      <x:c r="U53" s="13" t="n">
        <x:v>752.6965717256556</x:v>
      </x:c>
      <x:c r="V53" s="13" t="n">
        <x:v>765.2183322973606</x:v>
      </x:c>
      <x:c r="W53" s="13" t="n">
        <x:f>IF(COUNT(T53:V53)=3,AVERAGE(T53:V53),"")</x:f>
        <x:v>793.6165047929422</x:v>
      </x:c>
      <x:c r="X53" s="12" t="n">
        <x:v>0</x:v>
      </x:c>
      <x:c r="Y53" s="12" t="n">
        <x:v>0</x:v>
      </x:c>
      <x:c r="Z53" s="12" t="n">
        <x:v>0</x:v>
      </x:c>
      <x:c r="AA53" s="12" t="n">
        <x:f>IF(COUNT(X53:Z53)=3,AVERAGE(X53:Z53),"")</x:f>
        <x:v>0</x:v>
      </x:c>
      <x:c r="AB53" s="12" t="n">
        <x:v>0</x:v>
      </x:c>
      <x:c r="AC53" s="12" t="n">
        <x:v>0</x:v>
      </x:c>
      <x:c r="AD53" s="12" t="n">
        <x:v>0</x:v>
      </x:c>
      <x:c r="AE53" s="12" t="n">
        <x:f>IF(COUNT(AB53:AD53)=3,AVERAGE(AB53:AD53),"")</x:f>
        <x:v>0</x:v>
      </x:c>
      <x:c r="AF53" s="12" t="n">
        <x:v>0</x:v>
      </x:c>
      <x:c r="AG53" s="12" t="n">
        <x:v>0</x:v>
      </x:c>
      <x:c r="AH53" s="12" t="n">
        <x:v>0</x:v>
      </x:c>
      <x:c r="AI53" s="12" t="n">
        <x:f>IF(COUNT(AF53:AH53)=3,AVERAGE(AF53:AH53),"")</x:f>
        <x:v>0</x:v>
      </x:c>
      <x:c r="AJ53" s="12" t="n">
        <x:f>IF(COUNT(X53,AB53,AF53)=3,SUM(X53,AB53,AF53),"")</x:f>
        <x:v>0</x:v>
      </x:c>
      <x:c r="AK53" s="12" t="n">
        <x:f>IF(COUNT(Y53,AC53,AG53)=3,SUM(Y53,AC53,AG53),"")</x:f>
        <x:v>0</x:v>
      </x:c>
      <x:c r="AL53" s="12" t="n">
        <x:f>IF(COUNT(Z53,AD53,AH53)=3,SUM(Z53,AD53,AH53),"")</x:f>
        <x:v>0</x:v>
      </x:c>
      <x:c r="AM53" s="12" t="n">
        <x:f>IF(COUNT(AJ53:AL53)=3,AVERAGE(AJ53:AL53),"")</x:f>
        <x:v>0</x:v>
      </x:c>
      <x:c r="AN53" s="11" t="n">
        <x:v>0</x:v>
      </x:c>
      <x:c r="AO53" s="11" t="n">
        <x:v>0</x:v>
      </x:c>
      <x:c r="AP53" s="11" t="n">
        <x:v>0</x:v>
      </x:c>
      <x:c r="AQ53" s="11" t="n">
        <x:v>0</x:v>
      </x:c>
      <x:c r="AR53" s="11" t="n">
        <x:v>0</x:v>
      </x:c>
      <x:c r="AS53" s="11" t="n">
        <x:v>0</x:v>
      </x:c>
      <x:c r="AT53" s="11" t="n">
        <x:v>0</x:v>
      </x:c>
      <x:c r="AU53" s="11" t="n">
        <x:v>0</x:v>
      </x:c>
      <x:c r="AV53" s="4" t="inlineStr">
        <x:is>
          <x:t xml:space="preserve"/>
        </x:is>
      </x:c>
      <x:c r="AW53" s="4" t="inlineStr">
        <x:is>
          <x:t xml:space="preserve">Complete for all raw variables in 2015–2017</x:t>
        </x:is>
      </x:c>
    </x:row>
    <x:row r="54">
      <x:c r="A54" s="11" t="inlineStr">
        <x:is>
          <x:t xml:space="preserve">Zambia</x:t>
        </x:is>
      </x:c>
      <x:c r="B54" s="11" t="inlineStr">
        <x:is>
          <x:t xml:space="preserve">赞比亚</x:t>
        </x:is>
      </x:c>
      <x:c r="C54" s="11" t="inlineStr">
        <x:is>
          <x:t xml:space="preserve">ZMB</x:t>
        </x:is>
      </x:c>
      <x:c r="D54" s="11" t="inlineStr">
        <x:is>
          <x:t xml:space="preserve">Balancing</x:t>
        </x:is>
      </x:c>
      <x:c r="E54" s="4" t="inlineStr">
        <x:is>
          <x:t xml:space="preserve">System-Deepening Archetype</x:t>
        </x:is>
      </x:c>
      <x:c r="F54" s="4" t="inlineStr">
        <x:is>
          <x:t xml:space="preserve">High stability</x:t>
        </x:is>
      </x:c>
      <x:c r="G54" s="11" t="n"/>
      <x:c r="H54" s="12" t="n">
        <x:v>-0.529713</x:v>
      </x:c>
      <x:c r="I54" s="12" t="n">
        <x:v>-0.5286172</x:v>
      </x:c>
      <x:c r="J54" s="12" t="n">
        <x:v>-0.4632759</x:v>
      </x:c>
      <x:c r="K54" s="12" t="n">
        <x:f>IF(COUNT(H54:J54)=3,AVERAGE(H54:J54),"")</x:f>
        <x:v>-0.5072020333333332</x:v>
      </x:c>
      <x:c r="L54" s="12" t="n">
        <x:v>0.0822748</x:v>
      </x:c>
      <x:c r="M54" s="12" t="n">
        <x:v>-0.2072561</x:v>
      </x:c>
      <x:c r="N54" s="12" t="n">
        <x:v>-0.211102</x:v>
      </x:c>
      <x:c r="O54" s="12" t="n">
        <x:f>IF(COUNT(L54:N54)=3,AVERAGE(L54:N54),"")</x:f>
        <x:v>-0.11202776666666668</x:v>
      </x:c>
      <x:c r="P54" s="13" t="n">
        <x:v>21251216798.77625</x:v>
      </x:c>
      <x:c r="Q54" s="13" t="n">
        <x:v>20958412538.30935</x:v>
      </x:c>
      <x:c r="R54" s="13" t="n">
        <x:v>25873601260.8353</x:v>
      </x:c>
      <x:c r="S54" s="13" t="n">
        <x:f>IF(COUNT(P54:R54)=3,AVERAGE(P54:R54),"")</x:f>
        <x:v>22694410199.306965</x:v>
      </x:c>
      <x:c r="T54" s="13" t="n">
        <x:v>1295.877886800678</x:v>
      </x:c>
      <x:c r="U54" s="13" t="n">
        <x:v>1239.085278777133</x:v>
      </x:c>
      <x:c r="V54" s="13" t="n">
        <x:v>1483.465773280652</x:v>
      </x:c>
      <x:c r="W54" s="13" t="n">
        <x:f>IF(COUNT(T54:V54)=3,AVERAGE(T54:V54),"")</x:f>
        <x:v>1339.476312952821</x:v>
      </x:c>
      <x:c r="X54" s="12" t="n">
        <x:v>0</x:v>
      </x:c>
      <x:c r="Y54" s="12" t="n">
        <x:v>0</x:v>
      </x:c>
      <x:c r="Z54" s="12" t="n">
        <x:v>0</x:v>
      </x:c>
      <x:c r="AA54" s="12" t="n">
        <x:f>IF(COUNT(X54:Z54)=3,AVERAGE(X54:Z54),"")</x:f>
        <x:v>0</x:v>
      </x:c>
      <x:c r="AB54" s="12" t="n">
        <x:v>0</x:v>
      </x:c>
      <x:c r="AC54" s="12" t="n">
        <x:v>0</x:v>
      </x:c>
      <x:c r="AD54" s="12" t="n">
        <x:v>0</x:v>
      </x:c>
      <x:c r="AE54" s="12" t="n">
        <x:f>IF(COUNT(AB54:AD54)=3,AVERAGE(AB54:AD54),"")</x:f>
        <x:v>0</x:v>
      </x:c>
      <x:c r="AF54" s="12" t="n">
        <x:v>0.0161176960545101</x:v>
      </x:c>
      <x:c r="AG54" s="12" t="n">
        <x:v>0.0367635481547346</x:v>
      </x:c>
      <x:c r="AH54" s="12" t="n">
        <x:v>0.09665633716799429</x:v>
      </x:c>
      <x:c r="AI54" s="12" t="n">
        <x:f>IF(COUNT(AF54:AH54)=3,AVERAGE(AF54:AH54),"")</x:f>
        <x:v>0.04984586045907966</x:v>
      </x:c>
      <x:c r="AJ54" s="12" t="n">
        <x:f>IF(COUNT(X54,AB54,AF54)=3,SUM(X54,AB54,AF54),"")</x:f>
        <x:v>0.0161176960545101</x:v>
      </x:c>
      <x:c r="AK54" s="12" t="n">
        <x:f>IF(COUNT(Y54,AC54,AG54)=3,SUM(Y54,AC54,AG54),"")</x:f>
        <x:v>0.0367635481547346</x:v>
      </x:c>
      <x:c r="AL54" s="12" t="n">
        <x:f>IF(COUNT(Z54,AD54,AH54)=3,SUM(Z54,AD54,AH54),"")</x:f>
        <x:v>0.0966563371679943</x:v>
      </x:c>
      <x:c r="AM54" s="12" t="n">
        <x:f>IF(COUNT(AJ54:AL54)=3,AVERAGE(AJ54:AL54),"")</x:f>
        <x:v>0.04984586045907966</x:v>
      </x:c>
      <x:c r="AN54" s="11" t="n">
        <x:v>0</x:v>
      </x:c>
      <x:c r="AO54" s="11" t="n">
        <x:v>0</x:v>
      </x:c>
      <x:c r="AP54" s="11" t="n">
        <x:v>0</x:v>
      </x:c>
      <x:c r="AQ54" s="11" t="n">
        <x:v>0</x:v>
      </x:c>
      <x:c r="AR54" s="11" t="n">
        <x:v>0</x:v>
      </x:c>
      <x:c r="AS54" s="11" t="n">
        <x:v>0</x:v>
      </x:c>
      <x:c r="AT54" s="11" t="n">
        <x:v>0</x:v>
      </x:c>
      <x:c r="AU54" s="11" t="n">
        <x:v>0</x:v>
      </x:c>
      <x:c r="AV54" s="4" t="inlineStr">
        <x:is>
          <x:t xml:space="preserve"/>
        </x:is>
      </x:c>
      <x:c r="AW54" s="4" t="inlineStr">
        <x:is>
          <x:t xml:space="preserve">Complete for all raw variables in 2015–2017</x:t>
        </x:is>
      </x:c>
    </x:row>
    <x:row r="55">
      <x:c r="A55" s="11" t="inlineStr">
        <x:is>
          <x:t xml:space="preserve">Zimbabwe</x:t>
        </x:is>
      </x:c>
      <x:c r="B55" s="11" t="inlineStr">
        <x:is>
          <x:t xml:space="preserve">津巴布韦</x:t>
        </x:is>
      </x:c>
      <x:c r="C55" s="11" t="inlineStr">
        <x:is>
          <x:t xml:space="preserve">ZWE</x:t>
        </x:is>
      </x:c>
      <x:c r="D55" s="11" t="inlineStr">
        <x:is>
          <x:t xml:space="preserve">Balancing</x:t>
        </x:is>
      </x:c>
      <x:c r="E55" s="4" t="inlineStr">
        <x:is>
          <x:t xml:space="preserve">System-Deepening Archetype</x:t>
        </x:is>
      </x:c>
      <x:c r="F55" s="4" t="inlineStr">
        <x:is>
          <x:t xml:space="preserve">High stability</x:t>
        </x:is>
      </x:c>
      <x:c r="G55" s="11" t="n"/>
      <x:c r="H55" s="12" t="n">
        <x:v>-0.9412802</x:v>
      </x:c>
      <x:c r="I55" s="12" t="n">
        <x:v>-0.9135411</x:v>
      </x:c>
      <x:c r="J55" s="12" t="n">
        <x:v>-0.9584326999999999</x:v>
      </x:c>
      <x:c r="K55" s="12" t="n">
        <x:f>IF(COUNT(H55:J55)=3,AVERAGE(H55:J55),"")</x:f>
        <x:v>-0.9377513333333333</x:v>
      </x:c>
      <x:c r="L55" s="12" t="n">
        <x:v>-0.8565187999999999</x:v>
      </x:c>
      <x:c r="M55" s="12" t="n">
        <x:v>-0.9112005</x:v>
      </x:c>
      <x:c r="N55" s="12" t="n">
        <x:v>-0.8348774</x:v>
      </x:c>
      <x:c r="O55" s="12" t="n">
        <x:f>IF(COUNT(L55:N55)=3,AVERAGE(L55:N55),"")</x:f>
        <x:v>-0.8675322333333333</x:v>
      </x:c>
      <x:c r="P55" s="13" t="n">
        <x:v>19973250000</x:v>
      </x:c>
      <x:c r="Q55" s="13" t="n">
        <x:v>20559250000</x:v>
      </x:c>
      <x:c r="R55" s="13" t="n">
        <x:v>51035657370.51794</x:v>
      </x:c>
      <x:c r="S55" s="13" t="n">
        <x:f>IF(COUNT(P55:R55)=3,AVERAGE(P55:R55),"")</x:f>
        <x:v>30522719123.50598</x:v>
      </x:c>
      <x:c r="T55" s="13" t="n">
        <x:v>1387.126325950258</x:v>
      </x:c>
      <x:c r="U55" s="13" t="n">
        <x:v>1408.139452534312</x:v>
      </x:c>
      <x:c r="V55" s="13" t="n">
        <x:v>3445.449410201338</x:v>
      </x:c>
      <x:c r="W55" s="13" t="n">
        <x:f>IF(COUNT(T55:V55)=3,AVERAGE(T55:V55),"")</x:f>
        <x:v>2080.2383962286362</x:v>
      </x:c>
      <x:c r="X55" s="12" t="n">
        <x:v>0.0226080767805337</x:v>
      </x:c>
      <x:c r="Y55" s="12" t="n">
        <x:v>0.0227863385971937</x:v>
      </x:c>
      <x:c r="Z55" s="12" t="n">
        <x:v>0.0475010544657409</x:v>
      </x:c>
      <x:c r="AA55" s="12" t="n">
        <x:f>IF(COUNT(X55:Z55)=3,AVERAGE(X55:Z55),"")</x:f>
        <x:v>0.030965156614489436</x:v>
      </x:c>
      <x:c r="AB55" s="12" t="n">
        <x:v>0</x:v>
      </x:c>
      <x:c r="AC55" s="12" t="n">
        <x:v>0</x:v>
      </x:c>
      <x:c r="AD55" s="12" t="n">
        <x:v>0</x:v>
      </x:c>
      <x:c r="AE55" s="12" t="n">
        <x:f>IF(COUNT(AB55:AD55)=3,AVERAGE(AB55:AD55),"")</x:f>
        <x:v>0</x:v>
      </x:c>
      <x:c r="AF55" s="12" t="n">
        <x:v>0.517085951746671</x:v>
      </x:c>
      <x:c r="AG55" s="12" t="n">
        <x:v>0.231272872651529</x:v>
      </x:c>
      <x:c r="AH55" s="12" t="n">
        <x:v>0.605956461595311</x:v>
      </x:c>
      <x:c r="AI55" s="12" t="n">
        <x:f>IF(COUNT(AF55:AH55)=3,AVERAGE(AF55:AH55),"")</x:f>
        <x:v>0.4514384286645037</x:v>
      </x:c>
      <x:c r="AJ55" s="12" t="n">
        <x:f>IF(COUNT(X55,AB55,AF55)=3,SUM(X55,AB55,AF55),"")</x:f>
        <x:v>0.5396940285272047</x:v>
      </x:c>
      <x:c r="AK55" s="12" t="n">
        <x:f>IF(COUNT(Y55,AC55,AG55)=3,SUM(Y55,AC55,AG55),"")</x:f>
        <x:v>0.25405921124872266</x:v>
      </x:c>
      <x:c r="AL55" s="12" t="n">
        <x:f>IF(COUNT(Z55,AD55,AH55)=3,SUM(Z55,AD55,AH55),"")</x:f>
        <x:v>0.653457516061052</x:v>
      </x:c>
      <x:c r="AM55" s="12" t="n">
        <x:f>IF(COUNT(AJ55:AL55)=3,AVERAGE(AJ55:AL55),"")</x:f>
        <x:v>0.48240358527899313</x:v>
      </x:c>
      <x:c r="AN55" s="11" t="n">
        <x:v>0</x:v>
      </x:c>
      <x:c r="AO55" s="11" t="n">
        <x:v>0</x:v>
      </x:c>
      <x:c r="AP55" s="11" t="n">
        <x:v>0</x:v>
      </x:c>
      <x:c r="AQ55" s="11" t="n">
        <x:v>0</x:v>
      </x:c>
      <x:c r="AR55" s="11" t="n">
        <x:v>0</x:v>
      </x:c>
      <x:c r="AS55" s="11" t="n">
        <x:v>0</x:v>
      </x:c>
      <x:c r="AT55" s="11" t="n">
        <x:v>0</x:v>
      </x:c>
      <x:c r="AU55" s="11" t="n">
        <x:v>0</x:v>
      </x:c>
      <x:c r="AV55" s="4" t="inlineStr">
        <x:is>
          <x:t xml:space="preserve"/>
        </x:is>
      </x:c>
      <x:c r="AW55" s="4" t="inlineStr">
        <x:is>
          <x:t xml:space="preserve">Complete for all raw variables in 2015–2017</x:t>
        </x:is>
      </x:c>
    </x:row>
  </x:sheetData>
  <x:conditionalFormatting sqref="AN2:AN55">
    <x:cfRule type="cellIs" dxfId="0" priority="1" operator="greaterThan">
      <x:formula>0</x:formula>
    </x:cfRule>
  </x:conditionalFormatting>
  <x:conditionalFormatting sqref="AO2:AO55">
    <x:cfRule type="cellIs" dxfId="0" priority="2" operator="greaterThan">
      <x:formula>0</x:formula>
    </x:cfRule>
  </x:conditionalFormatting>
  <x:conditionalFormatting sqref="AP2:AP55">
    <x:cfRule type="cellIs" dxfId="0" priority="3" operator="greaterThan">
      <x:formula>0</x:formula>
    </x:cfRule>
  </x:conditionalFormatting>
  <x:conditionalFormatting sqref="AQ2:AQ55">
    <x:cfRule type="cellIs" dxfId="0" priority="4" operator="greaterThan">
      <x:formula>0</x:formula>
    </x:cfRule>
  </x:conditionalFormatting>
  <x:conditionalFormatting sqref="AR2:AR55">
    <x:cfRule type="cellIs" dxfId="0" priority="5" operator="greaterThan">
      <x:formula>0</x:formula>
    </x:cfRule>
  </x:conditionalFormatting>
  <x:conditionalFormatting sqref="AS2:AS55">
    <x:cfRule type="cellIs" dxfId="0" priority="6" operator="greaterThan">
      <x:formula>0</x:formula>
    </x:cfRule>
  </x:conditionalFormatting>
  <x:conditionalFormatting sqref="AT2:AT55">
    <x:cfRule type="cellIs" dxfId="0" priority="7" operator="greaterThan">
      <x:formula>0</x:formula>
    </x:cfRule>
  </x:conditionalFormatting>
  <x:conditionalFormatting sqref="AU2:AU55">
    <x:cfRule type="cellIs" dxfId="0" priority="8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5a12147c2504af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4" customWidth="1"/>
    <x:col min="3" max="3" width="12" customWidth="1"/>
    <x:col min="4" max="4" width="20" customWidth="1"/>
    <x:col min="5" max="5" width="20" customWidth="1"/>
    <x:col min="6" max="6" width="12" customWidth="1"/>
    <x:col min="7" max="7" width="14" customWidth="1"/>
    <x:col min="8" max="8" width="17" customWidth="1"/>
    <x:col min="9" max="9" width="32" customWidth="1"/>
  </x:cols>
  <x:sheetData>
    <x:row r="1" ht="34" customHeight="1">
      <x:c r="A1" s="5" t="inlineStr">
        <x:is>
          <x:t xml:space="preserve">Variable</x:t>
        </x:is>
      </x:c>
      <x:c r="B1" s="5" t="inlineStr">
        <x:is>
          <x:t xml:space="preserve">Country EN</x:t>
        </x:is>
      </x:c>
      <x:c r="C1" s="5" t="inlineStr">
        <x:is>
          <x:t xml:space="preserve">ISO3</x:t>
        </x:is>
      </x:c>
      <x:c r="D1" s="5" t="inlineStr">
        <x:is>
          <x:t xml:space="preserve">Baseline Archetype</x:t>
        </x:is>
      </x:c>
      <x:c r="E1" s="5" t="inlineStr">
        <x:is>
          <x:t xml:space="preserve">Stability Label</x:t>
        </x:is>
      </x:c>
      <x:c r="F1" s="5" t="inlineStr">
        <x:is>
          <x:t xml:space="preserve">Year</x:t>
        </x:is>
      </x:c>
      <x:c r="G1" s="5" t="inlineStr">
        <x:is>
          <x:t xml:space="preserve">Source value</x:t>
        </x:is>
      </x:c>
      <x:c r="H1" s="5" t="inlineStr">
        <x:is>
          <x:t xml:space="preserve">Type</x:t>
        </x:is>
      </x:c>
      <x:c r="I1" s="5" t="inlineStr">
        <x:is>
          <x:t xml:space="preserve">Audit treatment</x:t>
        </x:is>
      </x:c>
    </x:row>
    <x:row r="2">
      <x:c r="A2" s="2" t="inlineStr">
        <x:is>
          <x:t xml:space="preserve">GDP</x:t>
        </x:is>
      </x:c>
      <x:c r="B2" s="2" t="inlineStr">
        <x:is>
          <x:t xml:space="preserve">Eritrea</x:t>
        </x:is>
      </x:c>
      <x:c r="C2" s="2" t="inlineStr">
        <x:is>
          <x:t xml:space="preserve">ERI</x:t>
        </x:is>
      </x:c>
      <x:c r="D2" s="2" t="inlineStr">
        <x:is>
          <x:t xml:space="preserve">Lagging</x:t>
        </x:is>
      </x:c>
      <x:c r="E2" s="2" t="inlineStr">
        <x:is>
          <x:t xml:space="preserve">High stability</x:t>
        </x:is>
      </x:c>
      <x:c r="F2" s="2" t="n">
        <x:v>2015</x:v>
      </x:c>
      <x:c r="G2" s="2" t="n"/>
      <x:c r="H2" s="2" t="inlineStr">
        <x:is>
          <x:t xml:space="preserve">Source blank</x:t>
        </x:is>
      </x:c>
      <x:c r="I2" s="2" t="inlineStr">
        <x:is>
          <x:t xml:space="preserve">Retained as missing; NOT converted to 0</x:t>
        </x:is>
      </x:c>
    </x:row>
    <x:row r="3">
      <x:c r="A3" s="2" t="inlineStr">
        <x:is>
          <x:t xml:space="preserve">GDP</x:t>
        </x:is>
      </x:c>
      <x:c r="B3" s="2" t="inlineStr">
        <x:is>
          <x:t xml:space="preserve">Eritrea</x:t>
        </x:is>
      </x:c>
      <x:c r="C3" s="2" t="inlineStr">
        <x:is>
          <x:t xml:space="preserve">ERI</x:t>
        </x:is>
      </x:c>
      <x:c r="D3" s="2" t="inlineStr">
        <x:is>
          <x:t xml:space="preserve">Lagging</x:t>
        </x:is>
      </x:c>
      <x:c r="E3" s="2" t="inlineStr">
        <x:is>
          <x:t xml:space="preserve">High stability</x:t>
        </x:is>
      </x:c>
      <x:c r="F3" s="2" t="n">
        <x:v>2016</x:v>
      </x:c>
      <x:c r="G3" s="2" t="n"/>
      <x:c r="H3" s="2" t="inlineStr">
        <x:is>
          <x:t xml:space="preserve">Source blank</x:t>
        </x:is>
      </x:c>
      <x:c r="I3" s="2" t="inlineStr">
        <x:is>
          <x:t xml:space="preserve">Retained as missing; NOT converted to 0</x:t>
        </x:is>
      </x:c>
    </x:row>
    <x:row r="4">
      <x:c r="A4" s="2" t="inlineStr">
        <x:is>
          <x:t xml:space="preserve">GDP</x:t>
        </x:is>
      </x:c>
      <x:c r="B4" s="2" t="inlineStr">
        <x:is>
          <x:t xml:space="preserve">Eritrea</x:t>
        </x:is>
      </x:c>
      <x:c r="C4" s="2" t="inlineStr">
        <x:is>
          <x:t xml:space="preserve">ERI</x:t>
        </x:is>
      </x:c>
      <x:c r="D4" s="2" t="inlineStr">
        <x:is>
          <x:t xml:space="preserve">Lagging</x:t>
        </x:is>
      </x:c>
      <x:c r="E4" s="2" t="inlineStr">
        <x:is>
          <x:t xml:space="preserve">High stability</x:t>
        </x:is>
      </x:c>
      <x:c r="F4" s="2" t="n">
        <x:v>2017</x:v>
      </x:c>
      <x:c r="G4" s="2" t="n"/>
      <x:c r="H4" s="2" t="inlineStr">
        <x:is>
          <x:t xml:space="preserve">Source blank</x:t>
        </x:is>
      </x:c>
      <x:c r="I4" s="2" t="inlineStr">
        <x:is>
          <x:t xml:space="preserve">Retained as missing; NOT converted to 0</x:t>
        </x:is>
      </x:c>
    </x:row>
    <x:row r="5">
      <x:c r="A5" s="2" t="inlineStr">
        <x:is>
          <x:t xml:space="preserve">GDP</x:t>
        </x:is>
      </x:c>
      <x:c r="B5" s="2" t="inlineStr">
        <x:is>
          <x:t xml:space="preserve">South Sudan</x:t>
        </x:is>
      </x:c>
      <x:c r="C5" s="2" t="inlineStr">
        <x:is>
          <x:t xml:space="preserve">SSD</x:t>
        </x:is>
      </x:c>
      <x:c r="D5" s="2" t="inlineStr">
        <x:is>
          <x:t xml:space="preserve">Lagging</x:t>
        </x:is>
      </x:c>
      <x:c r="E5" s="2" t="inlineStr">
        <x:is>
          <x:t xml:space="preserve">High stability</x:t>
        </x:is>
      </x:c>
      <x:c r="F5" s="2" t="n">
        <x:v>2016</x:v>
      </x:c>
      <x:c r="G5" s="2" t="n"/>
      <x:c r="H5" s="2" t="inlineStr">
        <x:is>
          <x:t xml:space="preserve">Source blank</x:t>
        </x:is>
      </x:c>
      <x:c r="I5" s="2" t="inlineStr">
        <x:is>
          <x:t xml:space="preserve">Retained as missing; NOT converted to 0</x:t>
        </x:is>
      </x:c>
    </x:row>
    <x:row r="6">
      <x:c r="A6" s="2" t="inlineStr">
        <x:is>
          <x:t xml:space="preserve">GDP</x:t>
        </x:is>
      </x:c>
      <x:c r="B6" s="2" t="inlineStr">
        <x:is>
          <x:t xml:space="preserve">South Sudan</x:t>
        </x:is>
      </x:c>
      <x:c r="C6" s="2" t="inlineStr">
        <x:is>
          <x:t xml:space="preserve">SSD</x:t>
        </x:is>
      </x:c>
      <x:c r="D6" s="2" t="inlineStr">
        <x:is>
          <x:t xml:space="preserve">Lagging</x:t>
        </x:is>
      </x:c>
      <x:c r="E6" s="2" t="inlineStr">
        <x:is>
          <x:t xml:space="preserve">High stability</x:t>
        </x:is>
      </x:c>
      <x:c r="F6" s="2" t="n">
        <x:v>2017</x:v>
      </x:c>
      <x:c r="G6" s="2" t="n"/>
      <x:c r="H6" s="2" t="inlineStr">
        <x:is>
          <x:t xml:space="preserve">Source blank</x:t>
        </x:is>
      </x:c>
      <x:c r="I6" s="2" t="inlineStr">
        <x:is>
          <x:t xml:space="preserve">Retained as missing; NOT converted to 0</x:t>
        </x:is>
      </x:c>
    </x:row>
    <x:row r="7">
      <x:c r="A7" s="2" t="inlineStr">
        <x:is>
          <x:t xml:space="preserve">GDPpc</x:t>
        </x:is>
      </x:c>
      <x:c r="B7" s="2" t="inlineStr">
        <x:is>
          <x:t xml:space="preserve">Eritrea</x:t>
        </x:is>
      </x:c>
      <x:c r="C7" s="2" t="inlineStr">
        <x:is>
          <x:t xml:space="preserve">ERI</x:t>
        </x:is>
      </x:c>
      <x:c r="D7" s="2" t="inlineStr">
        <x:is>
          <x:t xml:space="preserve">Lagging</x:t>
        </x:is>
      </x:c>
      <x:c r="E7" s="2" t="inlineStr">
        <x:is>
          <x:t xml:space="preserve">High stability</x:t>
        </x:is>
      </x:c>
      <x:c r="F7" s="2" t="n">
        <x:v>2015</x:v>
      </x:c>
      <x:c r="G7" s="2" t="n"/>
      <x:c r="H7" s="2" t="inlineStr">
        <x:is>
          <x:t xml:space="preserve">Source blank</x:t>
        </x:is>
      </x:c>
      <x:c r="I7" s="2" t="inlineStr">
        <x:is>
          <x:t xml:space="preserve">Retained as missing; NOT converted to 0</x:t>
        </x:is>
      </x:c>
    </x:row>
    <x:row r="8">
      <x:c r="A8" s="2" t="inlineStr">
        <x:is>
          <x:t xml:space="preserve">GDPpc</x:t>
        </x:is>
      </x:c>
      <x:c r="B8" s="2" t="inlineStr">
        <x:is>
          <x:t xml:space="preserve">Eritrea</x:t>
        </x:is>
      </x:c>
      <x:c r="C8" s="2" t="inlineStr">
        <x:is>
          <x:t xml:space="preserve">ERI</x:t>
        </x:is>
      </x:c>
      <x:c r="D8" s="2" t="inlineStr">
        <x:is>
          <x:t xml:space="preserve">Lagging</x:t>
        </x:is>
      </x:c>
      <x:c r="E8" s="2" t="inlineStr">
        <x:is>
          <x:t xml:space="preserve">High stability</x:t>
        </x:is>
      </x:c>
      <x:c r="F8" s="2" t="n">
        <x:v>2016</x:v>
      </x:c>
      <x:c r="G8" s="2" t="n"/>
      <x:c r="H8" s="2" t="inlineStr">
        <x:is>
          <x:t xml:space="preserve">Source blank</x:t>
        </x:is>
      </x:c>
      <x:c r="I8" s="2" t="inlineStr">
        <x:is>
          <x:t xml:space="preserve">Retained as missing; NOT converted to 0</x:t>
        </x:is>
      </x:c>
    </x:row>
    <x:row r="9">
      <x:c r="A9" s="2" t="inlineStr">
        <x:is>
          <x:t xml:space="preserve">GDPpc</x:t>
        </x:is>
      </x:c>
      <x:c r="B9" s="2" t="inlineStr">
        <x:is>
          <x:t xml:space="preserve">Eritrea</x:t>
        </x:is>
      </x:c>
      <x:c r="C9" s="2" t="inlineStr">
        <x:is>
          <x:t xml:space="preserve">ERI</x:t>
        </x:is>
      </x:c>
      <x:c r="D9" s="2" t="inlineStr">
        <x:is>
          <x:t xml:space="preserve">Lagging</x:t>
        </x:is>
      </x:c>
      <x:c r="E9" s="2" t="inlineStr">
        <x:is>
          <x:t xml:space="preserve">High stability</x:t>
        </x:is>
      </x:c>
      <x:c r="F9" s="2" t="n">
        <x:v>2017</x:v>
      </x:c>
      <x:c r="G9" s="2" t="n"/>
      <x:c r="H9" s="2" t="inlineStr">
        <x:is>
          <x:t xml:space="preserve">Source blank</x:t>
        </x:is>
      </x:c>
      <x:c r="I9" s="2" t="inlineStr">
        <x:is>
          <x:t xml:space="preserve">Retained as missing; NOT converted to 0</x:t>
        </x:is>
      </x:c>
    </x:row>
    <x:row r="10">
      <x:c r="A10" s="2" t="inlineStr">
        <x:is>
          <x:t xml:space="preserve">GDPpc</x:t>
        </x:is>
      </x:c>
      <x:c r="B10" s="2" t="inlineStr">
        <x:is>
          <x:t xml:space="preserve">South Sudan</x:t>
        </x:is>
      </x:c>
      <x:c r="C10" s="2" t="inlineStr">
        <x:is>
          <x:t xml:space="preserve">SSD</x:t>
        </x:is>
      </x:c>
      <x:c r="D10" s="2" t="inlineStr">
        <x:is>
          <x:t xml:space="preserve">Lagging</x:t>
        </x:is>
      </x:c>
      <x:c r="E10" s="2" t="inlineStr">
        <x:is>
          <x:t xml:space="preserve">High stability</x:t>
        </x:is>
      </x:c>
      <x:c r="F10" s="2" t="n">
        <x:v>2016</x:v>
      </x:c>
      <x:c r="G10" s="2" t="n"/>
      <x:c r="H10" s="2" t="inlineStr">
        <x:is>
          <x:t xml:space="preserve">Source blank</x:t>
        </x:is>
      </x:c>
      <x:c r="I10" s="2" t="inlineStr">
        <x:is>
          <x:t xml:space="preserve">Retained as missing; NOT converted to 0</x:t>
        </x:is>
      </x:c>
    </x:row>
    <x:row r="11">
      <x:c r="A11" s="2" t="inlineStr">
        <x:is>
          <x:t xml:space="preserve">GDPpc</x:t>
        </x:is>
      </x:c>
      <x:c r="B11" s="2" t="inlineStr">
        <x:is>
          <x:t xml:space="preserve">South Sudan</x:t>
        </x:is>
      </x:c>
      <x:c r="C11" s="2" t="inlineStr">
        <x:is>
          <x:t xml:space="preserve">SSD</x:t>
        </x:is>
      </x:c>
      <x:c r="D11" s="2" t="inlineStr">
        <x:is>
          <x:t xml:space="preserve">Lagging</x:t>
        </x:is>
      </x:c>
      <x:c r="E11" s="2" t="inlineStr">
        <x:is>
          <x:t xml:space="preserve">High stability</x:t>
        </x:is>
      </x:c>
      <x:c r="F11" s="2" t="n">
        <x:v>2017</x:v>
      </x:c>
      <x:c r="G11" s="2" t="n"/>
      <x:c r="H11" s="2" t="inlineStr">
        <x:is>
          <x:t xml:space="preserve">Source blank</x:t>
        </x:is>
      </x:c>
      <x:c r="I11" s="2" t="inlineStr">
        <x:is>
          <x:t xml:space="preserve">Retained as missing; NOT converted to 0</x:t>
        </x:is>
      </x:c>
    </x:row>
    <x:row r="12">
      <x:c r="A12" s="2" t="inlineStr">
        <x:is>
          <x:t xml:space="preserve">OilRent</x:t>
        </x:is>
      </x:c>
      <x:c r="B12" s="2" t="inlineStr">
        <x:is>
          <x:t xml:space="preserve">Eritrea</x:t>
        </x:is>
      </x:c>
      <x:c r="C12" s="2" t="inlineStr">
        <x:is>
          <x:t xml:space="preserve">ERI</x:t>
        </x:is>
      </x:c>
      <x:c r="D12" s="2" t="inlineStr">
        <x:is>
          <x:t xml:space="preserve">Lagging</x:t>
        </x:is>
      </x:c>
      <x:c r="E12" s="2" t="inlineStr">
        <x:is>
          <x:t xml:space="preserve">High stability</x:t>
        </x:is>
      </x:c>
      <x:c r="F12" s="2" t="n">
        <x:v>2015</x:v>
      </x:c>
      <x:c r="G12" s="2" t="n"/>
      <x:c r="H12" s="2" t="inlineStr">
        <x:is>
          <x:t xml:space="preserve">Source blank</x:t>
        </x:is>
      </x:c>
      <x:c r="I12" s="2" t="inlineStr">
        <x:is>
          <x:t xml:space="preserve">Retained as missing; NOT converted to 0</x:t>
        </x:is>
      </x:c>
    </x:row>
    <x:row r="13">
      <x:c r="A13" s="2" t="inlineStr">
        <x:is>
          <x:t xml:space="preserve">OilRent</x:t>
        </x:is>
      </x:c>
      <x:c r="B13" s="2" t="inlineStr">
        <x:is>
          <x:t xml:space="preserve">Eritrea</x:t>
        </x:is>
      </x:c>
      <x:c r="C13" s="2" t="inlineStr">
        <x:is>
          <x:t xml:space="preserve">ERI</x:t>
        </x:is>
      </x:c>
      <x:c r="D13" s="2" t="inlineStr">
        <x:is>
          <x:t xml:space="preserve">Lagging</x:t>
        </x:is>
      </x:c>
      <x:c r="E13" s="2" t="inlineStr">
        <x:is>
          <x:t xml:space="preserve">High stability</x:t>
        </x:is>
      </x:c>
      <x:c r="F13" s="2" t="n">
        <x:v>2016</x:v>
      </x:c>
      <x:c r="G13" s="2" t="n"/>
      <x:c r="H13" s="2" t="inlineStr">
        <x:is>
          <x:t xml:space="preserve">Source blank</x:t>
        </x:is>
      </x:c>
      <x:c r="I13" s="2" t="inlineStr">
        <x:is>
          <x:t xml:space="preserve">Retained as missing; NOT converted to 0</x:t>
        </x:is>
      </x:c>
    </x:row>
    <x:row r="14">
      <x:c r="A14" s="2" t="inlineStr">
        <x:is>
          <x:t xml:space="preserve">OilRent</x:t>
        </x:is>
      </x:c>
      <x:c r="B14" s="2" t="inlineStr">
        <x:is>
          <x:t xml:space="preserve">Eritrea</x:t>
        </x:is>
      </x:c>
      <x:c r="C14" s="2" t="inlineStr">
        <x:is>
          <x:t xml:space="preserve">ERI</x:t>
        </x:is>
      </x:c>
      <x:c r="D14" s="2" t="inlineStr">
        <x:is>
          <x:t xml:space="preserve">Lagging</x:t>
        </x:is>
      </x:c>
      <x:c r="E14" s="2" t="inlineStr">
        <x:is>
          <x:t xml:space="preserve">High stability</x:t>
        </x:is>
      </x:c>
      <x:c r="F14" s="2" t="n">
        <x:v>2017</x:v>
      </x:c>
      <x:c r="G14" s="2" t="n"/>
      <x:c r="H14" s="2" t="inlineStr">
        <x:is>
          <x:t xml:space="preserve">Source blank</x:t>
        </x:is>
      </x:c>
      <x:c r="I14" s="2" t="inlineStr">
        <x:is>
          <x:t xml:space="preserve">Retained as missing; NOT converted to 0</x:t>
        </x:is>
      </x:c>
    </x:row>
    <x:row r="15">
      <x:c r="A15" s="2" t="inlineStr">
        <x:is>
          <x:t xml:space="preserve">OilRent</x:t>
        </x:is>
      </x:c>
      <x:c r="B15" s="2" t="inlineStr">
        <x:is>
          <x:t xml:space="preserve">South Sudan</x:t>
        </x:is>
      </x:c>
      <x:c r="C15" s="2" t="inlineStr">
        <x:is>
          <x:t xml:space="preserve">SSD</x:t>
        </x:is>
      </x:c>
      <x:c r="D15" s="2" t="inlineStr">
        <x:is>
          <x:t xml:space="preserve">Lagging</x:t>
        </x:is>
      </x:c>
      <x:c r="E15" s="2" t="inlineStr">
        <x:is>
          <x:t xml:space="preserve">High stability</x:t>
        </x:is>
      </x:c>
      <x:c r="F15" s="2" t="n">
        <x:v>2016</x:v>
      </x:c>
      <x:c r="G15" s="2" t="n"/>
      <x:c r="H15" s="2" t="inlineStr">
        <x:is>
          <x:t xml:space="preserve">Source blank</x:t>
        </x:is>
      </x:c>
      <x:c r="I15" s="2" t="inlineStr">
        <x:is>
          <x:t xml:space="preserve">Retained as missing; NOT converted to 0</x:t>
        </x:is>
      </x:c>
    </x:row>
    <x:row r="16">
      <x:c r="A16" s="2" t="inlineStr">
        <x:is>
          <x:t xml:space="preserve">OilRent</x:t>
        </x:is>
      </x:c>
      <x:c r="B16" s="2" t="inlineStr">
        <x:is>
          <x:t xml:space="preserve">South Sudan</x:t>
        </x:is>
      </x:c>
      <x:c r="C16" s="2" t="inlineStr">
        <x:is>
          <x:t xml:space="preserve">SSD</x:t>
        </x:is>
      </x:c>
      <x:c r="D16" s="2" t="inlineStr">
        <x:is>
          <x:t xml:space="preserve">Lagging</x:t>
        </x:is>
      </x:c>
      <x:c r="E16" s="2" t="inlineStr">
        <x:is>
          <x:t xml:space="preserve">High stability</x:t>
        </x:is>
      </x:c>
      <x:c r="F16" s="2" t="n">
        <x:v>2017</x:v>
      </x:c>
      <x:c r="G16" s="2" t="n"/>
      <x:c r="H16" s="2" t="inlineStr">
        <x:is>
          <x:t xml:space="preserve">Source blank</x:t>
        </x:is>
      </x:c>
      <x:c r="I16" s="2" t="inlineStr">
        <x:is>
          <x:t xml:space="preserve">Retained as missing; NOT converted to 0</x:t>
        </x:is>
      </x:c>
    </x:row>
    <x:row r="17">
      <x:c r="A17" s="2" t="inlineStr">
        <x:is>
          <x:t xml:space="preserve">GasRent</x:t>
        </x:is>
      </x:c>
      <x:c r="B17" s="2" t="inlineStr">
        <x:is>
          <x:t xml:space="preserve">Eritrea</x:t>
        </x:is>
      </x:c>
      <x:c r="C17" s="2" t="inlineStr">
        <x:is>
          <x:t xml:space="preserve">ERI</x:t>
        </x:is>
      </x:c>
      <x:c r="D17" s="2" t="inlineStr">
        <x:is>
          <x:t xml:space="preserve">Lagging</x:t>
        </x:is>
      </x:c>
      <x:c r="E17" s="2" t="inlineStr">
        <x:is>
          <x:t xml:space="preserve">High stability</x:t>
        </x:is>
      </x:c>
      <x:c r="F17" s="2" t="n">
        <x:v>2015</x:v>
      </x:c>
      <x:c r="G17" s="2" t="n"/>
      <x:c r="H17" s="2" t="inlineStr">
        <x:is>
          <x:t xml:space="preserve">Source blank</x:t>
        </x:is>
      </x:c>
      <x:c r="I17" s="2" t="inlineStr">
        <x:is>
          <x:t xml:space="preserve">Retained as missing; NOT converted to 0</x:t>
        </x:is>
      </x:c>
    </x:row>
    <x:row r="18">
      <x:c r="A18" s="2" t="inlineStr">
        <x:is>
          <x:t xml:space="preserve">GasRent</x:t>
        </x:is>
      </x:c>
      <x:c r="B18" s="2" t="inlineStr">
        <x:is>
          <x:t xml:space="preserve">Eritrea</x:t>
        </x:is>
      </x:c>
      <x:c r="C18" s="2" t="inlineStr">
        <x:is>
          <x:t xml:space="preserve">ERI</x:t>
        </x:is>
      </x:c>
      <x:c r="D18" s="2" t="inlineStr">
        <x:is>
          <x:t xml:space="preserve">Lagging</x:t>
        </x:is>
      </x:c>
      <x:c r="E18" s="2" t="inlineStr">
        <x:is>
          <x:t xml:space="preserve">High stability</x:t>
        </x:is>
      </x:c>
      <x:c r="F18" s="2" t="n">
        <x:v>2016</x:v>
      </x:c>
      <x:c r="G18" s="2" t="n"/>
      <x:c r="H18" s="2" t="inlineStr">
        <x:is>
          <x:t xml:space="preserve">Source blank</x:t>
        </x:is>
      </x:c>
      <x:c r="I18" s="2" t="inlineStr">
        <x:is>
          <x:t xml:space="preserve">Retained as missing; NOT converted to 0</x:t>
        </x:is>
      </x:c>
    </x:row>
    <x:row r="19">
      <x:c r="A19" s="2" t="inlineStr">
        <x:is>
          <x:t xml:space="preserve">GasRent</x:t>
        </x:is>
      </x:c>
      <x:c r="B19" s="2" t="inlineStr">
        <x:is>
          <x:t xml:space="preserve">Eritrea</x:t>
        </x:is>
      </x:c>
      <x:c r="C19" s="2" t="inlineStr">
        <x:is>
          <x:t xml:space="preserve">ERI</x:t>
        </x:is>
      </x:c>
      <x:c r="D19" s="2" t="inlineStr">
        <x:is>
          <x:t xml:space="preserve">Lagging</x:t>
        </x:is>
      </x:c>
      <x:c r="E19" s="2" t="inlineStr">
        <x:is>
          <x:t xml:space="preserve">High stability</x:t>
        </x:is>
      </x:c>
      <x:c r="F19" s="2" t="n">
        <x:v>2017</x:v>
      </x:c>
      <x:c r="G19" s="2" t="n"/>
      <x:c r="H19" s="2" t="inlineStr">
        <x:is>
          <x:t xml:space="preserve">Source blank</x:t>
        </x:is>
      </x:c>
      <x:c r="I19" s="2" t="inlineStr">
        <x:is>
          <x:t xml:space="preserve">Retained as missing; NOT converted to 0</x:t>
        </x:is>
      </x:c>
    </x:row>
    <x:row r="20">
      <x:c r="A20" s="2" t="inlineStr">
        <x:is>
          <x:t xml:space="preserve">GasRent</x:t>
        </x:is>
      </x:c>
      <x:c r="B20" s="2" t="inlineStr">
        <x:is>
          <x:t xml:space="preserve">Sierra Leone</x:t>
        </x:is>
      </x:c>
      <x:c r="C20" s="2" t="inlineStr">
        <x:is>
          <x:t xml:space="preserve">SLE</x:t>
        </x:is>
      </x:c>
      <x:c r="D20" s="2" t="inlineStr">
        <x:is>
          <x:t xml:space="preserve">Lagging</x:t>
        </x:is>
      </x:c>
      <x:c r="E20" s="2" t="inlineStr">
        <x:is>
          <x:t xml:space="preserve">Moderate stability</x:t>
        </x:is>
      </x:c>
      <x:c r="F20" s="2" t="n">
        <x:v>2015</x:v>
      </x:c>
      <x:c r="G20" s="2" t="n"/>
      <x:c r="H20" s="2" t="inlineStr">
        <x:is>
          <x:t xml:space="preserve">Source blank</x:t>
        </x:is>
      </x:c>
      <x:c r="I20" s="2" t="inlineStr">
        <x:is>
          <x:t xml:space="preserve">Retained as missing; NOT converted to 0</x:t>
        </x:is>
      </x:c>
    </x:row>
    <x:row r="21">
      <x:c r="A21" s="2" t="inlineStr">
        <x:is>
          <x:t xml:space="preserve">GasRent</x:t>
        </x:is>
      </x:c>
      <x:c r="B21" s="2" t="inlineStr">
        <x:is>
          <x:t xml:space="preserve">Sierra Leone</x:t>
        </x:is>
      </x:c>
      <x:c r="C21" s="2" t="inlineStr">
        <x:is>
          <x:t xml:space="preserve">SLE</x:t>
        </x:is>
      </x:c>
      <x:c r="D21" s="2" t="inlineStr">
        <x:is>
          <x:t xml:space="preserve">Lagging</x:t>
        </x:is>
      </x:c>
      <x:c r="E21" s="2" t="inlineStr">
        <x:is>
          <x:t xml:space="preserve">Moderate stability</x:t>
        </x:is>
      </x:c>
      <x:c r="F21" s="2" t="n">
        <x:v>2016</x:v>
      </x:c>
      <x:c r="G21" s="2" t="n"/>
      <x:c r="H21" s="2" t="inlineStr">
        <x:is>
          <x:t xml:space="preserve">Source blank</x:t>
        </x:is>
      </x:c>
      <x:c r="I21" s="2" t="inlineStr">
        <x:is>
          <x:t xml:space="preserve">Retained as missing; NOT converted to 0</x:t>
        </x:is>
      </x:c>
    </x:row>
    <x:row r="22">
      <x:c r="A22" s="2" t="inlineStr">
        <x:is>
          <x:t xml:space="preserve">GasRent</x:t>
        </x:is>
      </x:c>
      <x:c r="B22" s="2" t="inlineStr">
        <x:is>
          <x:t xml:space="preserve">Sierra Leone</x:t>
        </x:is>
      </x:c>
      <x:c r="C22" s="2" t="inlineStr">
        <x:is>
          <x:t xml:space="preserve">SLE</x:t>
        </x:is>
      </x:c>
      <x:c r="D22" s="2" t="inlineStr">
        <x:is>
          <x:t xml:space="preserve">Lagging</x:t>
        </x:is>
      </x:c>
      <x:c r="E22" s="2" t="inlineStr">
        <x:is>
          <x:t xml:space="preserve">Moderate stability</x:t>
        </x:is>
      </x:c>
      <x:c r="F22" s="2" t="n">
        <x:v>2017</x:v>
      </x:c>
      <x:c r="G22" s="2" t="n"/>
      <x:c r="H22" s="2" t="inlineStr">
        <x:is>
          <x:t xml:space="preserve">Source blank</x:t>
        </x:is>
      </x:c>
      <x:c r="I22" s="2" t="inlineStr">
        <x:is>
          <x:t xml:space="preserve">Retained as missing; NOT converted to 0</x:t>
        </x:is>
      </x:c>
    </x:row>
    <x:row r="23">
      <x:c r="A23" s="2" t="inlineStr">
        <x:is>
          <x:t xml:space="preserve">GasRent</x:t>
        </x:is>
      </x:c>
      <x:c r="B23" s="2" t="inlineStr">
        <x:is>
          <x:t xml:space="preserve">South Sudan</x:t>
        </x:is>
      </x:c>
      <x:c r="C23" s="2" t="inlineStr">
        <x:is>
          <x:t xml:space="preserve">SSD</x:t>
        </x:is>
      </x:c>
      <x:c r="D23" s="2" t="inlineStr">
        <x:is>
          <x:t xml:space="preserve">Lagging</x:t>
        </x:is>
      </x:c>
      <x:c r="E23" s="2" t="inlineStr">
        <x:is>
          <x:t xml:space="preserve">High stability</x:t>
        </x:is>
      </x:c>
      <x:c r="F23" s="2" t="n">
        <x:v>2016</x:v>
      </x:c>
      <x:c r="G23" s="2" t="n"/>
      <x:c r="H23" s="2" t="inlineStr">
        <x:is>
          <x:t xml:space="preserve">Source blank</x:t>
        </x:is>
      </x:c>
      <x:c r="I23" s="2" t="inlineStr">
        <x:is>
          <x:t xml:space="preserve">Retained as missing; NOT converted to 0</x:t>
        </x:is>
      </x:c>
    </x:row>
    <x:row r="24">
      <x:c r="A24" s="2" t="inlineStr">
        <x:is>
          <x:t xml:space="preserve">GasRent</x:t>
        </x:is>
      </x:c>
      <x:c r="B24" s="2" t="inlineStr">
        <x:is>
          <x:t xml:space="preserve">South Sudan</x:t>
        </x:is>
      </x:c>
      <x:c r="C24" s="2" t="inlineStr">
        <x:is>
          <x:t xml:space="preserve">SSD</x:t>
        </x:is>
      </x:c>
      <x:c r="D24" s="2" t="inlineStr">
        <x:is>
          <x:t xml:space="preserve">Lagging</x:t>
        </x:is>
      </x:c>
      <x:c r="E24" s="2" t="inlineStr">
        <x:is>
          <x:t xml:space="preserve">High stability</x:t>
        </x:is>
      </x:c>
      <x:c r="F24" s="2" t="n">
        <x:v>2017</x:v>
      </x:c>
      <x:c r="G24" s="2" t="n"/>
      <x:c r="H24" s="2" t="inlineStr">
        <x:is>
          <x:t xml:space="preserve">Source blank</x:t>
        </x:is>
      </x:c>
      <x:c r="I24" s="2" t="inlineStr">
        <x:is>
          <x:t xml:space="preserve">Retained as missing; NOT converted to 0</x:t>
        </x:is>
      </x:c>
    </x:row>
    <x:row r="25">
      <x:c r="A25" s="2" t="inlineStr">
        <x:is>
          <x:t xml:space="preserve">CoalRent</x:t>
        </x:is>
      </x:c>
      <x:c r="B25" s="2" t="inlineStr">
        <x:is>
          <x:t xml:space="preserve">Eritrea</x:t>
        </x:is>
      </x:c>
      <x:c r="C25" s="2" t="inlineStr">
        <x:is>
          <x:t xml:space="preserve">ERI</x:t>
        </x:is>
      </x:c>
      <x:c r="D25" s="2" t="inlineStr">
        <x:is>
          <x:t xml:space="preserve">Lagging</x:t>
        </x:is>
      </x:c>
      <x:c r="E25" s="2" t="inlineStr">
        <x:is>
          <x:t xml:space="preserve">High stability</x:t>
        </x:is>
      </x:c>
      <x:c r="F25" s="2" t="n">
        <x:v>2015</x:v>
      </x:c>
      <x:c r="G25" s="2" t="n"/>
      <x:c r="H25" s="2" t="inlineStr">
        <x:is>
          <x:t xml:space="preserve">Source blank</x:t>
        </x:is>
      </x:c>
      <x:c r="I25" s="2" t="inlineStr">
        <x:is>
          <x:t xml:space="preserve">Retained as missing; NOT converted to 0</x:t>
        </x:is>
      </x:c>
    </x:row>
    <x:row r="26">
      <x:c r="A26" s="2" t="inlineStr">
        <x:is>
          <x:t xml:space="preserve">CoalRent</x:t>
        </x:is>
      </x:c>
      <x:c r="B26" s="2" t="inlineStr">
        <x:is>
          <x:t xml:space="preserve">Eritrea</x:t>
        </x:is>
      </x:c>
      <x:c r="C26" s="2" t="inlineStr">
        <x:is>
          <x:t xml:space="preserve">ERI</x:t>
        </x:is>
      </x:c>
      <x:c r="D26" s="2" t="inlineStr">
        <x:is>
          <x:t xml:space="preserve">Lagging</x:t>
        </x:is>
      </x:c>
      <x:c r="E26" s="2" t="inlineStr">
        <x:is>
          <x:t xml:space="preserve">High stability</x:t>
        </x:is>
      </x:c>
      <x:c r="F26" s="2" t="n">
        <x:v>2016</x:v>
      </x:c>
      <x:c r="G26" s="2" t="n"/>
      <x:c r="H26" s="2" t="inlineStr">
        <x:is>
          <x:t xml:space="preserve">Source blank</x:t>
        </x:is>
      </x:c>
      <x:c r="I26" s="2" t="inlineStr">
        <x:is>
          <x:t xml:space="preserve">Retained as missing; NOT converted to 0</x:t>
        </x:is>
      </x:c>
    </x:row>
    <x:row r="27">
      <x:c r="A27" s="2" t="inlineStr">
        <x:is>
          <x:t xml:space="preserve">CoalRent</x:t>
        </x:is>
      </x:c>
      <x:c r="B27" s="2" t="inlineStr">
        <x:is>
          <x:t xml:space="preserve">Eritrea</x:t>
        </x:is>
      </x:c>
      <x:c r="C27" s="2" t="inlineStr">
        <x:is>
          <x:t xml:space="preserve">ERI</x:t>
        </x:is>
      </x:c>
      <x:c r="D27" s="2" t="inlineStr">
        <x:is>
          <x:t xml:space="preserve">Lagging</x:t>
        </x:is>
      </x:c>
      <x:c r="E27" s="2" t="inlineStr">
        <x:is>
          <x:t xml:space="preserve">High stability</x:t>
        </x:is>
      </x:c>
      <x:c r="F27" s="2" t="n">
        <x:v>2017</x:v>
      </x:c>
      <x:c r="G27" s="2" t="n"/>
      <x:c r="H27" s="2" t="inlineStr">
        <x:is>
          <x:t xml:space="preserve">Source blank</x:t>
        </x:is>
      </x:c>
      <x:c r="I27" s="2" t="inlineStr">
        <x:is>
          <x:t xml:space="preserve">Retained as missing; NOT converted to 0</x:t>
        </x:is>
      </x:c>
    </x:row>
    <x:row r="28">
      <x:c r="A28" s="2" t="inlineStr">
        <x:is>
          <x:t xml:space="preserve">CoalRent</x:t>
        </x:is>
      </x:c>
      <x:c r="B28" s="2" t="inlineStr">
        <x:is>
          <x:t xml:space="preserve">South Sudan</x:t>
        </x:is>
      </x:c>
      <x:c r="C28" s="2" t="inlineStr">
        <x:is>
          <x:t xml:space="preserve">SSD</x:t>
        </x:is>
      </x:c>
      <x:c r="D28" s="2" t="inlineStr">
        <x:is>
          <x:t xml:space="preserve">Lagging</x:t>
        </x:is>
      </x:c>
      <x:c r="E28" s="2" t="inlineStr">
        <x:is>
          <x:t xml:space="preserve">High stability</x:t>
        </x:is>
      </x:c>
      <x:c r="F28" s="2" t="n">
        <x:v>2016</x:v>
      </x:c>
      <x:c r="G28" s="2" t="n"/>
      <x:c r="H28" s="2" t="inlineStr">
        <x:is>
          <x:t xml:space="preserve">Source blank</x:t>
        </x:is>
      </x:c>
      <x:c r="I28" s="2" t="inlineStr">
        <x:is>
          <x:t xml:space="preserve">Retained as missing; NOT converted to 0</x:t>
        </x:is>
      </x:c>
    </x:row>
    <x:row r="29">
      <x:c r="A29" s="2" t="inlineStr">
        <x:is>
          <x:t xml:space="preserve">CoalRent</x:t>
        </x:is>
      </x:c>
      <x:c r="B29" s="2" t="inlineStr">
        <x:is>
          <x:t xml:space="preserve">South Sudan</x:t>
        </x:is>
      </x:c>
      <x:c r="C29" s="2" t="inlineStr">
        <x:is>
          <x:t xml:space="preserve">SSD</x:t>
        </x:is>
      </x:c>
      <x:c r="D29" s="2" t="inlineStr">
        <x:is>
          <x:t xml:space="preserve">Lagging</x:t>
        </x:is>
      </x:c>
      <x:c r="E29" s="2" t="inlineStr">
        <x:is>
          <x:t xml:space="preserve">High stability</x:t>
        </x:is>
      </x:c>
      <x:c r="F29" s="2" t="n">
        <x:v>2017</x:v>
      </x:c>
      <x:c r="G29" s="2" t="n"/>
      <x:c r="H29" s="2" t="inlineStr">
        <x:is>
          <x:t xml:space="preserve">Source blank</x:t>
        </x:is>
      </x:c>
      <x:c r="I29" s="2" t="inlineStr">
        <x:is>
          <x:t xml:space="preserve">Retained as missing; NOT converted to 0</x:t>
        </x:is>
      </x:c>
    </x:row>
    <x:row r="30">
      <x:c r="A30" s="2" t="inlineStr">
        <x:is>
          <x:t xml:space="preserve">FossilRent</x:t>
        </x:is>
      </x:c>
      <x:c r="B30" s="2" t="inlineStr">
        <x:is>
          <x:t xml:space="preserve">Eritrea</x:t>
        </x:is>
      </x:c>
      <x:c r="C30" s="2" t="inlineStr">
        <x:is>
          <x:t xml:space="preserve">ERI</x:t>
        </x:is>
      </x:c>
      <x:c r="D30" s="2" t="inlineStr">
        <x:is>
          <x:t xml:space="preserve">Lagging</x:t>
        </x:is>
      </x:c>
      <x:c r="E30" s="2" t="inlineStr">
        <x:is>
          <x:t xml:space="preserve">High stability</x:t>
        </x:is>
      </x:c>
      <x:c r="F30" s="2" t="n">
        <x:v>2015</x:v>
      </x:c>
      <x:c r="G30" s="2" t="n"/>
      <x:c r="H30" s="2" t="inlineStr">
        <x:is>
          <x:t xml:space="preserve">Derived missing</x:t>
        </x:is>
      </x:c>
      <x:c r="I30" s="2" t="inlineStr">
        <x:is>
          <x:t xml:space="preserve">At least one Oil/Gas/Coal component is blank</x:t>
        </x:is>
      </x:c>
    </x:row>
    <x:row r="31">
      <x:c r="A31" s="2" t="inlineStr">
        <x:is>
          <x:t xml:space="preserve">FossilRent</x:t>
        </x:is>
      </x:c>
      <x:c r="B31" s="2" t="inlineStr">
        <x:is>
          <x:t xml:space="preserve">Eritrea</x:t>
        </x:is>
      </x:c>
      <x:c r="C31" s="2" t="inlineStr">
        <x:is>
          <x:t xml:space="preserve">ERI</x:t>
        </x:is>
      </x:c>
      <x:c r="D31" s="2" t="inlineStr">
        <x:is>
          <x:t xml:space="preserve">Lagging</x:t>
        </x:is>
      </x:c>
      <x:c r="E31" s="2" t="inlineStr">
        <x:is>
          <x:t xml:space="preserve">High stability</x:t>
        </x:is>
      </x:c>
      <x:c r="F31" s="2" t="n">
        <x:v>2016</x:v>
      </x:c>
      <x:c r="G31" s="2" t="n"/>
      <x:c r="H31" s="2" t="inlineStr">
        <x:is>
          <x:t xml:space="preserve">Derived missing</x:t>
        </x:is>
      </x:c>
      <x:c r="I31" s="2" t="inlineStr">
        <x:is>
          <x:t xml:space="preserve">At least one Oil/Gas/Coal component is blank</x:t>
        </x:is>
      </x:c>
    </x:row>
    <x:row r="32">
      <x:c r="A32" s="2" t="inlineStr">
        <x:is>
          <x:t xml:space="preserve">FossilRent</x:t>
        </x:is>
      </x:c>
      <x:c r="B32" s="2" t="inlineStr">
        <x:is>
          <x:t xml:space="preserve">Eritrea</x:t>
        </x:is>
      </x:c>
      <x:c r="C32" s="2" t="inlineStr">
        <x:is>
          <x:t xml:space="preserve">ERI</x:t>
        </x:is>
      </x:c>
      <x:c r="D32" s="2" t="inlineStr">
        <x:is>
          <x:t xml:space="preserve">Lagging</x:t>
        </x:is>
      </x:c>
      <x:c r="E32" s="2" t="inlineStr">
        <x:is>
          <x:t xml:space="preserve">High stability</x:t>
        </x:is>
      </x:c>
      <x:c r="F32" s="2" t="n">
        <x:v>2017</x:v>
      </x:c>
      <x:c r="G32" s="2" t="n"/>
      <x:c r="H32" s="2" t="inlineStr">
        <x:is>
          <x:t xml:space="preserve">Derived missing</x:t>
        </x:is>
      </x:c>
      <x:c r="I32" s="2" t="inlineStr">
        <x:is>
          <x:t xml:space="preserve">At least one Oil/Gas/Coal component is blank</x:t>
        </x:is>
      </x:c>
    </x:row>
    <x:row r="33">
      <x:c r="A33" s="2" t="inlineStr">
        <x:is>
          <x:t xml:space="preserve">FossilRent</x:t>
        </x:is>
      </x:c>
      <x:c r="B33" s="2" t="inlineStr">
        <x:is>
          <x:t xml:space="preserve">Sierra Leone</x:t>
        </x:is>
      </x:c>
      <x:c r="C33" s="2" t="inlineStr">
        <x:is>
          <x:t xml:space="preserve">SLE</x:t>
        </x:is>
      </x:c>
      <x:c r="D33" s="2" t="inlineStr">
        <x:is>
          <x:t xml:space="preserve">Lagging</x:t>
        </x:is>
      </x:c>
      <x:c r="E33" s="2" t="inlineStr">
        <x:is>
          <x:t xml:space="preserve">Moderate stability</x:t>
        </x:is>
      </x:c>
      <x:c r="F33" s="2" t="n">
        <x:v>2015</x:v>
      </x:c>
      <x:c r="G33" s="2" t="n"/>
      <x:c r="H33" s="2" t="inlineStr">
        <x:is>
          <x:t xml:space="preserve">Derived missing</x:t>
        </x:is>
      </x:c>
      <x:c r="I33" s="2" t="inlineStr">
        <x:is>
          <x:t xml:space="preserve">At least one Oil/Gas/Coal component is blank</x:t>
        </x:is>
      </x:c>
    </x:row>
    <x:row r="34">
      <x:c r="A34" s="2" t="inlineStr">
        <x:is>
          <x:t xml:space="preserve">FossilRent</x:t>
        </x:is>
      </x:c>
      <x:c r="B34" s="2" t="inlineStr">
        <x:is>
          <x:t xml:space="preserve">Sierra Leone</x:t>
        </x:is>
      </x:c>
      <x:c r="C34" s="2" t="inlineStr">
        <x:is>
          <x:t xml:space="preserve">SLE</x:t>
        </x:is>
      </x:c>
      <x:c r="D34" s="2" t="inlineStr">
        <x:is>
          <x:t xml:space="preserve">Lagging</x:t>
        </x:is>
      </x:c>
      <x:c r="E34" s="2" t="inlineStr">
        <x:is>
          <x:t xml:space="preserve">Moderate stability</x:t>
        </x:is>
      </x:c>
      <x:c r="F34" s="2" t="n">
        <x:v>2016</x:v>
      </x:c>
      <x:c r="G34" s="2" t="n"/>
      <x:c r="H34" s="2" t="inlineStr">
        <x:is>
          <x:t xml:space="preserve">Derived missing</x:t>
        </x:is>
      </x:c>
      <x:c r="I34" s="2" t="inlineStr">
        <x:is>
          <x:t xml:space="preserve">At least one Oil/Gas/Coal component is blank</x:t>
        </x:is>
      </x:c>
    </x:row>
    <x:row r="35">
      <x:c r="A35" s="2" t="inlineStr">
        <x:is>
          <x:t xml:space="preserve">FossilRent</x:t>
        </x:is>
      </x:c>
      <x:c r="B35" s="2" t="inlineStr">
        <x:is>
          <x:t xml:space="preserve">Sierra Leone</x:t>
        </x:is>
      </x:c>
      <x:c r="C35" s="2" t="inlineStr">
        <x:is>
          <x:t xml:space="preserve">SLE</x:t>
        </x:is>
      </x:c>
      <x:c r="D35" s="2" t="inlineStr">
        <x:is>
          <x:t xml:space="preserve">Lagging</x:t>
        </x:is>
      </x:c>
      <x:c r="E35" s="2" t="inlineStr">
        <x:is>
          <x:t xml:space="preserve">Moderate stability</x:t>
        </x:is>
      </x:c>
      <x:c r="F35" s="2" t="n">
        <x:v>2017</x:v>
      </x:c>
      <x:c r="G35" s="2" t="n"/>
      <x:c r="H35" s="2" t="inlineStr">
        <x:is>
          <x:t xml:space="preserve">Derived missing</x:t>
        </x:is>
      </x:c>
      <x:c r="I35" s="2" t="inlineStr">
        <x:is>
          <x:t xml:space="preserve">At least one Oil/Gas/Coal component is blank</x:t>
        </x:is>
      </x:c>
    </x:row>
    <x:row r="36">
      <x:c r="A36" s="2" t="inlineStr">
        <x:is>
          <x:t xml:space="preserve">FossilRent</x:t>
        </x:is>
      </x:c>
      <x:c r="B36" s="2" t="inlineStr">
        <x:is>
          <x:t xml:space="preserve">South Sudan</x:t>
        </x:is>
      </x:c>
      <x:c r="C36" s="2" t="inlineStr">
        <x:is>
          <x:t xml:space="preserve">SSD</x:t>
        </x:is>
      </x:c>
      <x:c r="D36" s="2" t="inlineStr">
        <x:is>
          <x:t xml:space="preserve">Lagging</x:t>
        </x:is>
      </x:c>
      <x:c r="E36" s="2" t="inlineStr">
        <x:is>
          <x:t xml:space="preserve">High stability</x:t>
        </x:is>
      </x:c>
      <x:c r="F36" s="2" t="n">
        <x:v>2016</x:v>
      </x:c>
      <x:c r="G36" s="2" t="n"/>
      <x:c r="H36" s="2" t="inlineStr">
        <x:is>
          <x:t xml:space="preserve">Derived missing</x:t>
        </x:is>
      </x:c>
      <x:c r="I36" s="2" t="inlineStr">
        <x:is>
          <x:t xml:space="preserve">At least one Oil/Gas/Coal component is blank</x:t>
        </x:is>
      </x:c>
    </x:row>
    <x:row r="37">
      <x:c r="A37" s="2" t="inlineStr">
        <x:is>
          <x:t xml:space="preserve">FossilRent</x:t>
        </x:is>
      </x:c>
      <x:c r="B37" s="2" t="inlineStr">
        <x:is>
          <x:t xml:space="preserve">South Sudan</x:t>
        </x:is>
      </x:c>
      <x:c r="C37" s="2" t="inlineStr">
        <x:is>
          <x:t xml:space="preserve">SSD</x:t>
        </x:is>
      </x:c>
      <x:c r="D37" s="2" t="inlineStr">
        <x:is>
          <x:t xml:space="preserve">Lagging</x:t>
        </x:is>
      </x:c>
      <x:c r="E37" s="2" t="inlineStr">
        <x:is>
          <x:t xml:space="preserve">High stability</x:t>
        </x:is>
      </x:c>
      <x:c r="F37" s="2" t="n">
        <x:v>2017</x:v>
      </x:c>
      <x:c r="G37" s="2" t="n"/>
      <x:c r="H37" s="2" t="inlineStr">
        <x:is>
          <x:t xml:space="preserve">Derived missing</x:t>
        </x:is>
      </x:c>
      <x:c r="I37" s="2" t="inlineStr">
        <x:is>
          <x:t xml:space="preserve">At least one Oil/Gas/Coal component is blank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cca64ea30484d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12" customWidth="1"/>
    <x:col min="3" max="3" width="12" customWidth="1"/>
    <x:col min="4" max="4" width="12" customWidth="1"/>
    <x:col min="5" max="5" width="15" customWidth="1"/>
    <x:col min="6" max="6" width="12" customWidth="1"/>
    <x:col min="7" max="7" width="15" customWidth="1"/>
    <x:col min="8" max="8" width="13" customWidth="1"/>
    <x:col min="9" max="9" width="16" customWidth="1"/>
    <x:col min="10" max="10" width="22" customWidth="1"/>
    <x:col min="11" max="11" width="30" customWidth="1"/>
  </x:cols>
  <x:sheetData>
    <x:row r="1" ht="34" customHeight="1">
      <x:c r="A1" s="5" t="inlineStr">
        <x:is>
          <x:t xml:space="preserve">Country EN</x:t>
        </x:is>
      </x:c>
      <x:c r="B1" s="5" t="inlineStr">
        <x:is>
          <x:t xml:space="preserve">ISO3</x:t>
        </x:is>
      </x:c>
      <x:c r="C1" s="5" t="inlineStr">
        <x:is>
          <x:t xml:space="preserve">Archetype</x:t>
        </x:is>
      </x:c>
      <x:c r="D1" s="5" t="inlineStr">
        <x:is>
          <x:t xml:space="preserve">Oil zero n</x:t>
        </x:is>
      </x:c>
      <x:c r="E1" s="5" t="inlineStr">
        <x:is>
          <x:t xml:space="preserve">Oil missing n</x:t>
        </x:is>
      </x:c>
      <x:c r="F1" s="5" t="inlineStr">
        <x:is>
          <x:t xml:space="preserve">Gas zero n</x:t>
        </x:is>
      </x:c>
      <x:c r="G1" s="5" t="inlineStr">
        <x:is>
          <x:t xml:space="preserve">Gas missing n</x:t>
        </x:is>
      </x:c>
      <x:c r="H1" s="5" t="inlineStr">
        <x:is>
          <x:t xml:space="preserve">Coal zero n</x:t>
        </x:is>
      </x:c>
      <x:c r="I1" s="5" t="inlineStr">
        <x:is>
          <x:t xml:space="preserve">Coal missing n</x:t>
        </x:is>
      </x:c>
      <x:c r="J1" s="5" t="inlineStr">
        <x:is>
          <x:t xml:space="preserve">FossilRent missing n</x:t>
        </x:is>
      </x:c>
      <x:c r="K1" s="5" t="inlineStr">
        <x:is>
          <x:t xml:space="preserve">Interpretation</x:t>
        </x:is>
      </x:c>
    </x:row>
    <x:row r="2">
      <x:c r="A2" s="2" t="inlineStr">
        <x:is>
          <x:t xml:space="preserve">Algeria</x:t>
        </x:is>
      </x:c>
      <x:c r="B2" s="2" t="inlineStr">
        <x:is>
          <x:t xml:space="preserve">DZA</x:t>
        </x:is>
      </x:c>
      <x:c r="C2" s="2" t="inlineStr">
        <x:is>
          <x:t xml:space="preserve">Lagging</x:t>
        </x:is>
      </x:c>
      <x:c r="D2" s="2" t="n">
        <x:v>0</x:v>
      </x:c>
      <x:c r="E2" s="2" t="n">
        <x:v>0</x:v>
      </x:c>
      <x:c r="F2" s="2" t="n">
        <x:v>0</x:v>
      </x:c>
      <x:c r="G2" s="2" t="n">
        <x:v>0</x:v>
      </x:c>
      <x:c r="H2" s="2" t="n">
        <x:v>3</x:v>
      </x:c>
      <x:c r="I2" s="2" t="n">
        <x:v>0</x:v>
      </x:c>
      <x:c r="J2" s="2" t="n">
        <x:v>0</x:v>
      </x:c>
      <x:c r="K2" s="2" t="inlineStr">
        <x:is>
          <x:t xml:space="preserve">Explicit zeros are preserved as 0; blanks remain missing.</x:t>
        </x:is>
      </x:c>
    </x:row>
    <x:row r="3">
      <x:c r="A3" s="2" t="inlineStr">
        <x:is>
          <x:t xml:space="preserve">Angola</x:t>
        </x:is>
      </x:c>
      <x:c r="B3" s="2" t="inlineStr">
        <x:is>
          <x:t xml:space="preserve">AGO</x:t>
        </x:is>
      </x:c>
      <x:c r="C3" s="2" t="inlineStr">
        <x:is>
          <x:t xml:space="preserve">Leading</x:t>
        </x:is>
      </x:c>
      <x:c r="D3" s="2" t="n">
        <x:v>0</x:v>
      </x:c>
      <x:c r="E3" s="2" t="n">
        <x:v>0</x:v>
      </x:c>
      <x:c r="F3" s="2" t="n">
        <x:v>0</x:v>
      </x:c>
      <x:c r="G3" s="2" t="n">
        <x:v>0</x:v>
      </x:c>
      <x:c r="H3" s="2" t="n">
        <x:v>3</x:v>
      </x:c>
      <x:c r="I3" s="2" t="n">
        <x:v>0</x:v>
      </x:c>
      <x:c r="J3" s="2" t="n">
        <x:v>0</x:v>
      </x:c>
      <x:c r="K3" s="2" t="inlineStr">
        <x:is>
          <x:t xml:space="preserve">Explicit zeros are preserved as 0; blanks remain missing.</x:t>
        </x:is>
      </x:c>
    </x:row>
    <x:row r="4">
      <x:c r="A4" s="2" t="inlineStr">
        <x:is>
          <x:t xml:space="preserve">Benin</x:t>
        </x:is>
      </x:c>
      <x:c r="B4" s="2" t="inlineStr">
        <x:is>
          <x:t xml:space="preserve">BEN</x:t>
        </x:is>
      </x:c>
      <x:c r="C4" s="2" t="inlineStr">
        <x:is>
          <x:t xml:space="preserve">Lagging</x:t>
        </x:is>
      </x:c>
      <x:c r="D4" s="2" t="n">
        <x:v>0</x:v>
      </x:c>
      <x:c r="E4" s="2" t="n">
        <x:v>0</x:v>
      </x:c>
      <x:c r="F4" s="2" t="n">
        <x:v>3</x:v>
      </x:c>
      <x:c r="G4" s="2" t="n">
        <x:v>0</x:v>
      </x:c>
      <x:c r="H4" s="2" t="n">
        <x:v>3</x:v>
      </x:c>
      <x:c r="I4" s="2" t="n">
        <x:v>0</x:v>
      </x:c>
      <x:c r="J4" s="2" t="n">
        <x:v>0</x:v>
      </x:c>
      <x:c r="K4" s="2" t="inlineStr">
        <x:is>
          <x:t xml:space="preserve">Explicit zeros are preserved as 0; blanks remain missing.</x:t>
        </x:is>
      </x:c>
    </x:row>
    <x:row r="5">
      <x:c r="A5" s="2" t="inlineStr">
        <x:is>
          <x:t xml:space="preserve">Botswana</x:t>
        </x:is>
      </x:c>
      <x:c r="B5" s="2" t="inlineStr">
        <x:is>
          <x:t xml:space="preserve">BWA</x:t>
        </x:is>
      </x:c>
      <x:c r="C5" s="2" t="inlineStr">
        <x:is>
          <x:t xml:space="preserve">Lagging</x:t>
        </x:is>
      </x:c>
      <x:c r="D5" s="2" t="n">
        <x:v>3</x:v>
      </x:c>
      <x:c r="E5" s="2" t="n">
        <x:v>0</x:v>
      </x:c>
      <x:c r="F5" s="2" t="n">
        <x:v>3</x:v>
      </x:c>
      <x:c r="G5" s="2" t="n">
        <x:v>0</x:v>
      </x:c>
      <x:c r="H5" s="2" t="n">
        <x:v>0</x:v>
      </x:c>
      <x:c r="I5" s="2" t="n">
        <x:v>0</x:v>
      </x:c>
      <x:c r="J5" s="2" t="n">
        <x:v>0</x:v>
      </x:c>
      <x:c r="K5" s="2" t="inlineStr">
        <x:is>
          <x:t xml:space="preserve">Explicit zeros are preserved as 0; blanks remain missing.</x:t>
        </x:is>
      </x:c>
    </x:row>
    <x:row r="6">
      <x:c r="A6" s="2" t="inlineStr">
        <x:is>
          <x:t xml:space="preserve">Burkina Faso</x:t>
        </x:is>
      </x:c>
      <x:c r="B6" s="2" t="inlineStr">
        <x:is>
          <x:t xml:space="preserve">BFA</x:t>
        </x:is>
      </x:c>
      <x:c r="C6" s="2" t="inlineStr">
        <x:is>
          <x:t xml:space="preserve">Lagging</x:t>
        </x:is>
      </x:c>
      <x:c r="D6" s="2" t="n">
        <x:v>3</x:v>
      </x:c>
      <x:c r="E6" s="2" t="n">
        <x:v>0</x:v>
      </x:c>
      <x:c r="F6" s="2" t="n">
        <x:v>3</x:v>
      </x:c>
      <x:c r="G6" s="2" t="n">
        <x:v>0</x:v>
      </x:c>
      <x:c r="H6" s="2" t="n">
        <x:v>3</x:v>
      </x:c>
      <x:c r="I6" s="2" t="n">
        <x:v>0</x:v>
      </x:c>
      <x:c r="J6" s="2" t="n">
        <x:v>0</x:v>
      </x:c>
      <x:c r="K6" s="2" t="inlineStr">
        <x:is>
          <x:t xml:space="preserve">Explicit zeros are preserved as 0; blanks remain missing.</x:t>
        </x:is>
      </x:c>
    </x:row>
    <x:row r="7">
      <x:c r="A7" s="2" t="inlineStr">
        <x:is>
          <x:t xml:space="preserve">Burundi</x:t>
        </x:is>
      </x:c>
      <x:c r="B7" s="2" t="inlineStr">
        <x:is>
          <x:t xml:space="preserve">BDI</x:t>
        </x:is>
      </x:c>
      <x:c r="C7" s="2" t="inlineStr">
        <x:is>
          <x:t xml:space="preserve">Lagging</x:t>
        </x:is>
      </x:c>
      <x:c r="D7" s="2" t="n">
        <x:v>3</x:v>
      </x:c>
      <x:c r="E7" s="2" t="n">
        <x:v>0</x:v>
      </x:c>
      <x:c r="F7" s="2" t="n">
        <x:v>3</x:v>
      </x:c>
      <x:c r="G7" s="2" t="n">
        <x:v>0</x:v>
      </x:c>
      <x:c r="H7" s="2" t="n">
        <x:v>3</x:v>
      </x:c>
      <x:c r="I7" s="2" t="n">
        <x:v>0</x:v>
      </x:c>
      <x:c r="J7" s="2" t="n">
        <x:v>0</x:v>
      </x:c>
      <x:c r="K7" s="2" t="inlineStr">
        <x:is>
          <x:t xml:space="preserve">Explicit zeros are preserved as 0; blanks remain missing.</x:t>
        </x:is>
      </x:c>
    </x:row>
    <x:row r="8">
      <x:c r="A8" s="2" t="inlineStr">
        <x:is>
          <x:t xml:space="preserve">Cabo Verde</x:t>
        </x:is>
      </x:c>
      <x:c r="B8" s="2" t="inlineStr">
        <x:is>
          <x:t xml:space="preserve">CPV</x:t>
        </x:is>
      </x:c>
      <x:c r="C8" s="2" t="inlineStr">
        <x:is>
          <x:t xml:space="preserve">Balancing</x:t>
        </x:is>
      </x:c>
      <x:c r="D8" s="2" t="n">
        <x:v>3</x:v>
      </x:c>
      <x:c r="E8" s="2" t="n">
        <x:v>0</x:v>
      </x:c>
      <x:c r="F8" s="2" t="n">
        <x:v>3</x:v>
      </x:c>
      <x:c r="G8" s="2" t="n">
        <x:v>0</x:v>
      </x:c>
      <x:c r="H8" s="2" t="n">
        <x:v>0</x:v>
      </x:c>
      <x:c r="I8" s="2" t="n">
        <x:v>0</x:v>
      </x:c>
      <x:c r="J8" s="2" t="n">
        <x:v>0</x:v>
      </x:c>
      <x:c r="K8" s="2" t="inlineStr">
        <x:is>
          <x:t xml:space="preserve">Explicit zeros are preserved as 0; blanks remain missing.</x:t>
        </x:is>
      </x:c>
    </x:row>
    <x:row r="9">
      <x:c r="A9" s="2" t="inlineStr">
        <x:is>
          <x:t xml:space="preserve">Cameroon</x:t>
        </x:is>
      </x:c>
      <x:c r="B9" s="2" t="inlineStr">
        <x:is>
          <x:t xml:space="preserve">CMR</x:t>
        </x:is>
      </x:c>
      <x:c r="C9" s="2" t="inlineStr">
        <x:is>
          <x:t xml:space="preserve">Balancing</x:t>
        </x:is>
      </x:c>
      <x:c r="D9" s="2" t="n">
        <x:v>0</x:v>
      </x:c>
      <x:c r="E9" s="2" t="n">
        <x:v>0</x:v>
      </x:c>
      <x:c r="F9" s="2" t="n">
        <x:v>0</x:v>
      </x:c>
      <x:c r="G9" s="2" t="n">
        <x:v>0</x:v>
      </x:c>
      <x:c r="H9" s="2" t="n">
        <x:v>3</x:v>
      </x:c>
      <x:c r="I9" s="2" t="n">
        <x:v>0</x:v>
      </x:c>
      <x:c r="J9" s="2" t="n">
        <x:v>0</x:v>
      </x:c>
      <x:c r="K9" s="2" t="inlineStr">
        <x:is>
          <x:t xml:space="preserve">Explicit zeros are preserved as 0; blanks remain missing.</x:t>
        </x:is>
      </x:c>
    </x:row>
    <x:row r="10">
      <x:c r="A10" s="2" t="inlineStr">
        <x:is>
          <x:t xml:space="preserve">Central African Republic</x:t>
        </x:is>
      </x:c>
      <x:c r="B10" s="2" t="inlineStr">
        <x:is>
          <x:t xml:space="preserve">CAF</x:t>
        </x:is>
      </x:c>
      <x:c r="C10" s="2" t="inlineStr">
        <x:is>
          <x:t xml:space="preserve">Lagging</x:t>
        </x:is>
      </x:c>
      <x:c r="D10" s="2" t="n">
        <x:v>3</x:v>
      </x:c>
      <x:c r="E10" s="2" t="n">
        <x:v>0</x:v>
      </x:c>
      <x:c r="F10" s="2" t="n">
        <x:v>3</x:v>
      </x:c>
      <x:c r="G10" s="2" t="n">
        <x:v>0</x:v>
      </x:c>
      <x:c r="H10" s="2" t="n">
        <x:v>3</x:v>
      </x:c>
      <x:c r="I10" s="2" t="n">
        <x:v>0</x:v>
      </x:c>
      <x:c r="J10" s="2" t="n">
        <x:v>0</x:v>
      </x:c>
      <x:c r="K10" s="2" t="inlineStr">
        <x:is>
          <x:t xml:space="preserve">Explicit zeros are preserved as 0; blanks remain missing.</x:t>
        </x:is>
      </x:c>
    </x:row>
    <x:row r="11">
      <x:c r="A11" s="2" t="inlineStr">
        <x:is>
          <x:t xml:space="preserve">Chad</x:t>
        </x:is>
      </x:c>
      <x:c r="B11" s="2" t="inlineStr">
        <x:is>
          <x:t xml:space="preserve">TCD</x:t>
        </x:is>
      </x:c>
      <x:c r="C11" s="2" t="inlineStr">
        <x:is>
          <x:t xml:space="preserve">Lagging</x:t>
        </x:is>
      </x:c>
      <x:c r="D11" s="2" t="n">
        <x:v>0</x:v>
      </x:c>
      <x:c r="E11" s="2" t="n">
        <x:v>0</x:v>
      </x:c>
      <x:c r="F11" s="2" t="n">
        <x:v>3</x:v>
      </x:c>
      <x:c r="G11" s="2" t="n">
        <x:v>0</x:v>
      </x:c>
      <x:c r="H11" s="2" t="n">
        <x:v>3</x:v>
      </x:c>
      <x:c r="I11" s="2" t="n">
        <x:v>0</x:v>
      </x:c>
      <x:c r="J11" s="2" t="n">
        <x:v>0</x:v>
      </x:c>
      <x:c r="K11" s="2" t="inlineStr">
        <x:is>
          <x:t xml:space="preserve">Explicit zeros are preserved as 0; blanks remain missing.</x:t>
        </x:is>
      </x:c>
    </x:row>
    <x:row r="12">
      <x:c r="A12" s="2" t="inlineStr">
        <x:is>
          <x:t xml:space="preserve">Comoros</x:t>
        </x:is>
      </x:c>
      <x:c r="B12" s="2" t="inlineStr">
        <x:is>
          <x:t xml:space="preserve">COM</x:t>
        </x:is>
      </x:c>
      <x:c r="C12" s="2" t="inlineStr">
        <x:is>
          <x:t xml:space="preserve">Lagging</x:t>
        </x:is>
      </x:c>
      <x:c r="D12" s="2" t="n">
        <x:v>3</x:v>
      </x:c>
      <x:c r="E12" s="2" t="n">
        <x:v>0</x:v>
      </x:c>
      <x:c r="F12" s="2" t="n">
        <x:v>3</x:v>
      </x:c>
      <x:c r="G12" s="2" t="n">
        <x:v>0</x:v>
      </x:c>
      <x:c r="H12" s="2" t="n">
        <x:v>3</x:v>
      </x:c>
      <x:c r="I12" s="2" t="n">
        <x:v>0</x:v>
      </x:c>
      <x:c r="J12" s="2" t="n">
        <x:v>0</x:v>
      </x:c>
      <x:c r="K12" s="2" t="inlineStr">
        <x:is>
          <x:t xml:space="preserve">Explicit zeros are preserved as 0; blanks remain missing.</x:t>
        </x:is>
      </x:c>
    </x:row>
    <x:row r="13">
      <x:c r="A13" s="2" t="inlineStr">
        <x:is>
          <x:t xml:space="preserve">Democratic Republic of the Congo</x:t>
        </x:is>
      </x:c>
      <x:c r="B13" s="2" t="inlineStr">
        <x:is>
          <x:t xml:space="preserve">COD</x:t>
        </x:is>
      </x:c>
      <x:c r="C13" s="2" t="inlineStr">
        <x:is>
          <x:t xml:space="preserve">Lagging</x:t>
        </x:is>
      </x:c>
      <x:c r="D13" s="2" t="n">
        <x:v>0</x:v>
      </x:c>
      <x:c r="E13" s="2" t="n">
        <x:v>0</x:v>
      </x:c>
      <x:c r="F13" s="2" t="n">
        <x:v>0</x:v>
      </x:c>
      <x:c r="G13" s="2" t="n">
        <x:v>0</x:v>
      </x:c>
      <x:c r="H13" s="2" t="n">
        <x:v>3</x:v>
      </x:c>
      <x:c r="I13" s="2" t="n">
        <x:v>0</x:v>
      </x:c>
      <x:c r="J13" s="2" t="n">
        <x:v>0</x:v>
      </x:c>
      <x:c r="K13" s="2" t="inlineStr">
        <x:is>
          <x:t xml:space="preserve">Explicit zeros are preserved as 0; blanks remain missing.</x:t>
        </x:is>
      </x:c>
    </x:row>
    <x:row r="14">
      <x:c r="A14" s="2" t="inlineStr">
        <x:is>
          <x:t xml:space="preserve">Republic of the Congo</x:t>
        </x:is>
      </x:c>
      <x:c r="B14" s="2" t="inlineStr">
        <x:is>
          <x:t xml:space="preserve">COG</x:t>
        </x:is>
      </x:c>
      <x:c r="C14" s="2" t="inlineStr">
        <x:is>
          <x:t xml:space="preserve">Lagging</x:t>
        </x:is>
      </x:c>
      <x:c r="D14" s="2" t="n">
        <x:v>0</x:v>
      </x:c>
      <x:c r="E14" s="2" t="n">
        <x:v>0</x:v>
      </x:c>
      <x:c r="F14" s="2" t="n">
        <x:v>0</x:v>
      </x:c>
      <x:c r="G14" s="2" t="n">
        <x:v>0</x:v>
      </x:c>
      <x:c r="H14" s="2" t="n">
        <x:v>3</x:v>
      </x:c>
      <x:c r="I14" s="2" t="n">
        <x:v>0</x:v>
      </x:c>
      <x:c r="J14" s="2" t="n">
        <x:v>0</x:v>
      </x:c>
      <x:c r="K14" s="2" t="inlineStr">
        <x:is>
          <x:t xml:space="preserve">Explicit zeros are preserved as 0; blanks remain missing.</x:t>
        </x:is>
      </x:c>
    </x:row>
    <x:row r="15">
      <x:c r="A15" s="2" t="inlineStr">
        <x:is>
          <x:t xml:space="preserve">Côte d'Ivoire</x:t>
        </x:is>
      </x:c>
      <x:c r="B15" s="2" t="inlineStr">
        <x:is>
          <x:t xml:space="preserve">CIV</x:t>
        </x:is>
      </x:c>
      <x:c r="C15" s="2" t="inlineStr">
        <x:is>
          <x:t xml:space="preserve">Balancing</x:t>
        </x:is>
      </x:c>
      <x:c r="D15" s="2" t="n">
        <x:v>0</x:v>
      </x:c>
      <x:c r="E15" s="2" t="n">
        <x:v>0</x:v>
      </x:c>
      <x:c r="F15" s="2" t="n">
        <x:v>0</x:v>
      </x:c>
      <x:c r="G15" s="2" t="n">
        <x:v>0</x:v>
      </x:c>
      <x:c r="H15" s="2" t="n">
        <x:v>3</x:v>
      </x:c>
      <x:c r="I15" s="2" t="n">
        <x:v>0</x:v>
      </x:c>
      <x:c r="J15" s="2" t="n">
        <x:v>0</x:v>
      </x:c>
      <x:c r="K15" s="2" t="inlineStr">
        <x:is>
          <x:t xml:space="preserve">Explicit zeros are preserved as 0; blanks remain missing.</x:t>
        </x:is>
      </x:c>
    </x:row>
    <x:row r="16">
      <x:c r="A16" s="2" t="inlineStr">
        <x:is>
          <x:t xml:space="preserve">Djibouti</x:t>
        </x:is>
      </x:c>
      <x:c r="B16" s="2" t="inlineStr">
        <x:is>
          <x:t xml:space="preserve">DJI</x:t>
        </x:is>
      </x:c>
      <x:c r="C16" s="2" t="inlineStr">
        <x:is>
          <x:t xml:space="preserve">Balancing</x:t>
        </x:is>
      </x:c>
      <x:c r="D16" s="2" t="n">
        <x:v>3</x:v>
      </x:c>
      <x:c r="E16" s="2" t="n">
        <x:v>0</x:v>
      </x:c>
      <x:c r="F16" s="2" t="n">
        <x:v>3</x:v>
      </x:c>
      <x:c r="G16" s="2" t="n">
        <x:v>0</x:v>
      </x:c>
      <x:c r="H16" s="2" t="n">
        <x:v>3</x:v>
      </x:c>
      <x:c r="I16" s="2" t="n">
        <x:v>0</x:v>
      </x:c>
      <x:c r="J16" s="2" t="n">
        <x:v>0</x:v>
      </x:c>
      <x:c r="K16" s="2" t="inlineStr">
        <x:is>
          <x:t xml:space="preserve">Explicit zeros are preserved as 0; blanks remain missing.</x:t>
        </x:is>
      </x:c>
    </x:row>
    <x:row r="17">
      <x:c r="A17" s="2" t="inlineStr">
        <x:is>
          <x:t xml:space="preserve">Egypt</x:t>
        </x:is>
      </x:c>
      <x:c r="B17" s="2" t="inlineStr">
        <x:is>
          <x:t xml:space="preserve">EGY</x:t>
        </x:is>
      </x:c>
      <x:c r="C17" s="2" t="inlineStr">
        <x:is>
          <x:t xml:space="preserve">Leading</x:t>
        </x:is>
      </x:c>
      <x:c r="D17" s="2" t="n">
        <x:v>0</x:v>
      </x:c>
      <x:c r="E17" s="2" t="n">
        <x:v>0</x:v>
      </x:c>
      <x:c r="F17" s="2" t="n">
        <x:v>0</x:v>
      </x:c>
      <x:c r="G17" s="2" t="n">
        <x:v>0</x:v>
      </x:c>
      <x:c r="H17" s="2" t="n">
        <x:v>3</x:v>
      </x:c>
      <x:c r="I17" s="2" t="n">
        <x:v>0</x:v>
      </x:c>
      <x:c r="J17" s="2" t="n">
        <x:v>0</x:v>
      </x:c>
      <x:c r="K17" s="2" t="inlineStr">
        <x:is>
          <x:t xml:space="preserve">Explicit zeros are preserved as 0; blanks remain missing.</x:t>
        </x:is>
      </x:c>
    </x:row>
    <x:row r="18">
      <x:c r="A18" s="2" t="inlineStr">
        <x:is>
          <x:t xml:space="preserve">Equatorial Guinea</x:t>
        </x:is>
      </x:c>
      <x:c r="B18" s="2" t="inlineStr">
        <x:is>
          <x:t xml:space="preserve">GNQ</x:t>
        </x:is>
      </x:c>
      <x:c r="C18" s="2" t="inlineStr">
        <x:is>
          <x:t xml:space="preserve">Lagging</x:t>
        </x:is>
      </x:c>
      <x:c r="D18" s="2" t="n">
        <x:v>0</x:v>
      </x:c>
      <x:c r="E18" s="2" t="n">
        <x:v>0</x:v>
      </x:c>
      <x:c r="F18" s="2" t="n">
        <x:v>0</x:v>
      </x:c>
      <x:c r="G18" s="2" t="n">
        <x:v>0</x:v>
      </x:c>
      <x:c r="H18" s="2" t="n">
        <x:v>3</x:v>
      </x:c>
      <x:c r="I18" s="2" t="n">
        <x:v>0</x:v>
      </x:c>
      <x:c r="J18" s="2" t="n">
        <x:v>0</x:v>
      </x:c>
      <x:c r="K18" s="2" t="inlineStr">
        <x:is>
          <x:t xml:space="preserve">Explicit zeros are preserved as 0; blanks remain missing.</x:t>
        </x:is>
      </x:c>
    </x:row>
    <x:row r="19">
      <x:c r="A19" s="2" t="inlineStr">
        <x:is>
          <x:t xml:space="preserve">Eritrea</x:t>
        </x:is>
      </x:c>
      <x:c r="B19" s="2" t="inlineStr">
        <x:is>
          <x:t xml:space="preserve">ERI</x:t>
        </x:is>
      </x:c>
      <x:c r="C19" s="2" t="inlineStr">
        <x:is>
          <x:t xml:space="preserve">Lagging</x:t>
        </x:is>
      </x:c>
      <x:c r="D19" s="2" t="n">
        <x:v>0</x:v>
      </x:c>
      <x:c r="E19" s="2" t="n">
        <x:v>3</x:v>
      </x:c>
      <x:c r="F19" s="2" t="n">
        <x:v>0</x:v>
      </x:c>
      <x:c r="G19" s="2" t="n">
        <x:v>3</x:v>
      </x:c>
      <x:c r="H19" s="2" t="n">
        <x:v>0</x:v>
      </x:c>
      <x:c r="I19" s="2" t="n">
        <x:v>3</x:v>
      </x:c>
      <x:c r="J19" s="2" t="n">
        <x:v>3</x:v>
      </x:c>
      <x:c r="K19" s="2" t="inlineStr">
        <x:is>
          <x:t xml:space="preserve">Explicit zeros are preserved as 0; blanks remain missing.</x:t>
        </x:is>
      </x:c>
    </x:row>
    <x:row r="20">
      <x:c r="A20" s="2" t="inlineStr">
        <x:is>
          <x:t xml:space="preserve">Eswatini</x:t>
        </x:is>
      </x:c>
      <x:c r="B20" s="2" t="inlineStr">
        <x:is>
          <x:t xml:space="preserve">SWZ</x:t>
        </x:is>
      </x:c>
      <x:c r="C20" s="2" t="inlineStr">
        <x:is>
          <x:t xml:space="preserve">Balancing</x:t>
        </x:is>
      </x:c>
      <x:c r="D20" s="2" t="n">
        <x:v>1</x:v>
      </x:c>
      <x:c r="E20" s="2" t="n">
        <x:v>0</x:v>
      </x:c>
      <x:c r="F20" s="2" t="n">
        <x:v>3</x:v>
      </x:c>
      <x:c r="G20" s="2" t="n">
        <x:v>0</x:v>
      </x:c>
      <x:c r="H20" s="2" t="n">
        <x:v>0</x:v>
      </x:c>
      <x:c r="I20" s="2" t="n">
        <x:v>0</x:v>
      </x:c>
      <x:c r="J20" s="2" t="n">
        <x:v>0</x:v>
      </x:c>
      <x:c r="K20" s="2" t="inlineStr">
        <x:is>
          <x:t xml:space="preserve">Explicit zeros are preserved as 0; blanks remain missing.</x:t>
        </x:is>
      </x:c>
    </x:row>
    <x:row r="21">
      <x:c r="A21" s="2" t="inlineStr">
        <x:is>
          <x:t xml:space="preserve">Ethiopia</x:t>
        </x:is>
      </x:c>
      <x:c r="B21" s="2" t="inlineStr">
        <x:is>
          <x:t xml:space="preserve">ETH</x:t>
        </x:is>
      </x:c>
      <x:c r="C21" s="2" t="inlineStr">
        <x:is>
          <x:t xml:space="preserve">Leading</x:t>
        </x:is>
      </x:c>
      <x:c r="D21" s="2" t="n">
        <x:v>1</x:v>
      </x:c>
      <x:c r="E21" s="2" t="n">
        <x:v>0</x:v>
      </x:c>
      <x:c r="F21" s="2" t="n">
        <x:v>3</x:v>
      </x:c>
      <x:c r="G21" s="2" t="n">
        <x:v>0</x:v>
      </x:c>
      <x:c r="H21" s="2" t="n">
        <x:v>1</x:v>
      </x:c>
      <x:c r="I21" s="2" t="n">
        <x:v>0</x:v>
      </x:c>
      <x:c r="J21" s="2" t="n">
        <x:v>0</x:v>
      </x:c>
      <x:c r="K21" s="2" t="inlineStr">
        <x:is>
          <x:t xml:space="preserve">Explicit zeros are preserved as 0; blanks remain missing.</x:t>
        </x:is>
      </x:c>
    </x:row>
    <x:row r="22">
      <x:c r="A22" s="2" t="inlineStr">
        <x:is>
          <x:t xml:space="preserve">Gabon</x:t>
        </x:is>
      </x:c>
      <x:c r="B22" s="2" t="inlineStr">
        <x:is>
          <x:t xml:space="preserve">GAB</x:t>
        </x:is>
      </x:c>
      <x:c r="C22" s="2" t="inlineStr">
        <x:is>
          <x:t xml:space="preserve">Balancing</x:t>
        </x:is>
      </x:c>
      <x:c r="D22" s="2" t="n">
        <x:v>0</x:v>
      </x:c>
      <x:c r="E22" s="2" t="n">
        <x:v>0</x:v>
      </x:c>
      <x:c r="F22" s="2" t="n">
        <x:v>0</x:v>
      </x:c>
      <x:c r="G22" s="2" t="n">
        <x:v>0</x:v>
      </x:c>
      <x:c r="H22" s="2" t="n">
        <x:v>3</x:v>
      </x:c>
      <x:c r="I22" s="2" t="n">
        <x:v>0</x:v>
      </x:c>
      <x:c r="J22" s="2" t="n">
        <x:v>0</x:v>
      </x:c>
      <x:c r="K22" s="2" t="inlineStr">
        <x:is>
          <x:t xml:space="preserve">Explicit zeros are preserved as 0; blanks remain missing.</x:t>
        </x:is>
      </x:c>
    </x:row>
    <x:row r="23">
      <x:c r="A23" s="2" t="inlineStr">
        <x:is>
          <x:t xml:space="preserve">Gambia</x:t>
        </x:is>
      </x:c>
      <x:c r="B23" s="2" t="inlineStr">
        <x:is>
          <x:t xml:space="preserve">GMB</x:t>
        </x:is>
      </x:c>
      <x:c r="C23" s="2" t="inlineStr">
        <x:is>
          <x:t xml:space="preserve">Lagging</x:t>
        </x:is>
      </x:c>
      <x:c r="D23" s="2" t="n">
        <x:v>3</x:v>
      </x:c>
      <x:c r="E23" s="2" t="n">
        <x:v>0</x:v>
      </x:c>
      <x:c r="F23" s="2" t="n">
        <x:v>3</x:v>
      </x:c>
      <x:c r="G23" s="2" t="n">
        <x:v>0</x:v>
      </x:c>
      <x:c r="H23" s="2" t="n">
        <x:v>3</x:v>
      </x:c>
      <x:c r="I23" s="2" t="n">
        <x:v>0</x:v>
      </x:c>
      <x:c r="J23" s="2" t="n">
        <x:v>0</x:v>
      </x:c>
      <x:c r="K23" s="2" t="inlineStr">
        <x:is>
          <x:t xml:space="preserve">Explicit zeros are preserved as 0; blanks remain missing.</x:t>
        </x:is>
      </x:c>
    </x:row>
    <x:row r="24">
      <x:c r="A24" s="2" t="inlineStr">
        <x:is>
          <x:t xml:space="preserve">Ghana</x:t>
        </x:is>
      </x:c>
      <x:c r="B24" s="2" t="inlineStr">
        <x:is>
          <x:t xml:space="preserve">GHA</x:t>
        </x:is>
      </x:c>
      <x:c r="C24" s="2" t="inlineStr">
        <x:is>
          <x:t xml:space="preserve">Balancing</x:t>
        </x:is>
      </x:c>
      <x:c r="D24" s="2" t="n">
        <x:v>0</x:v>
      </x:c>
      <x:c r="E24" s="2" t="n">
        <x:v>0</x:v>
      </x:c>
      <x:c r="F24" s="2" t="n">
        <x:v>0</x:v>
      </x:c>
      <x:c r="G24" s="2" t="n">
        <x:v>0</x:v>
      </x:c>
      <x:c r="H24" s="2" t="n">
        <x:v>3</x:v>
      </x:c>
      <x:c r="I24" s="2" t="n">
        <x:v>0</x:v>
      </x:c>
      <x:c r="J24" s="2" t="n">
        <x:v>0</x:v>
      </x:c>
      <x:c r="K24" s="2" t="inlineStr">
        <x:is>
          <x:t xml:space="preserve">Explicit zeros are preserved as 0; blanks remain missing.</x:t>
        </x:is>
      </x:c>
    </x:row>
    <x:row r="25">
      <x:c r="A25" s="2" t="inlineStr">
        <x:is>
          <x:t xml:space="preserve">Guinea</x:t>
        </x:is>
      </x:c>
      <x:c r="B25" s="2" t="inlineStr">
        <x:is>
          <x:t xml:space="preserve">GIN</x:t>
        </x:is>
      </x:c>
      <x:c r="C25" s="2" t="inlineStr">
        <x:is>
          <x:t xml:space="preserve">Balancing</x:t>
        </x:is>
      </x:c>
      <x:c r="D25" s="2" t="n">
        <x:v>3</x:v>
      </x:c>
      <x:c r="E25" s="2" t="n">
        <x:v>0</x:v>
      </x:c>
      <x:c r="F25" s="2" t="n">
        <x:v>3</x:v>
      </x:c>
      <x:c r="G25" s="2" t="n">
        <x:v>0</x:v>
      </x:c>
      <x:c r="H25" s="2" t="n">
        <x:v>3</x:v>
      </x:c>
      <x:c r="I25" s="2" t="n">
        <x:v>0</x:v>
      </x:c>
      <x:c r="J25" s="2" t="n">
        <x:v>0</x:v>
      </x:c>
      <x:c r="K25" s="2" t="inlineStr">
        <x:is>
          <x:t xml:space="preserve">Explicit zeros are preserved as 0; blanks remain missing.</x:t>
        </x:is>
      </x:c>
    </x:row>
    <x:row r="26">
      <x:c r="A26" s="2" t="inlineStr">
        <x:is>
          <x:t xml:space="preserve">Guinea-Bissau</x:t>
        </x:is>
      </x:c>
      <x:c r="B26" s="2" t="inlineStr">
        <x:is>
          <x:t xml:space="preserve">GNB</x:t>
        </x:is>
      </x:c>
      <x:c r="C26" s="2" t="inlineStr">
        <x:is>
          <x:t xml:space="preserve">Lagging</x:t>
        </x:is>
      </x:c>
      <x:c r="D26" s="2" t="n">
        <x:v>3</x:v>
      </x:c>
      <x:c r="E26" s="2" t="n">
        <x:v>0</x:v>
      </x:c>
      <x:c r="F26" s="2" t="n">
        <x:v>3</x:v>
      </x:c>
      <x:c r="G26" s="2" t="n">
        <x:v>0</x:v>
      </x:c>
      <x:c r="H26" s="2" t="n">
        <x:v>3</x:v>
      </x:c>
      <x:c r="I26" s="2" t="n">
        <x:v>0</x:v>
      </x:c>
      <x:c r="J26" s="2" t="n">
        <x:v>0</x:v>
      </x:c>
      <x:c r="K26" s="2" t="inlineStr">
        <x:is>
          <x:t xml:space="preserve">Explicit zeros are preserved as 0; blanks remain missing.</x:t>
        </x:is>
      </x:c>
    </x:row>
    <x:row r="27">
      <x:c r="A27" s="2" t="inlineStr">
        <x:is>
          <x:t xml:space="preserve">Kenya</x:t>
        </x:is>
      </x:c>
      <x:c r="B27" s="2" t="inlineStr">
        <x:is>
          <x:t xml:space="preserve">KEN</x:t>
        </x:is>
      </x:c>
      <x:c r="C27" s="2" t="inlineStr">
        <x:is>
          <x:t xml:space="preserve">Balancing</x:t>
        </x:is>
      </x:c>
      <x:c r="D27" s="2" t="n">
        <x:v>1</x:v>
      </x:c>
      <x:c r="E27" s="2" t="n">
        <x:v>0</x:v>
      </x:c>
      <x:c r="F27" s="2" t="n">
        <x:v>3</x:v>
      </x:c>
      <x:c r="G27" s="2" t="n">
        <x:v>0</x:v>
      </x:c>
      <x:c r="H27" s="2" t="n">
        <x:v>3</x:v>
      </x:c>
      <x:c r="I27" s="2" t="n">
        <x:v>0</x:v>
      </x:c>
      <x:c r="J27" s="2" t="n">
        <x:v>0</x:v>
      </x:c>
      <x:c r="K27" s="2" t="inlineStr">
        <x:is>
          <x:t xml:space="preserve">Explicit zeros are preserved as 0; blanks remain missing.</x:t>
        </x:is>
      </x:c>
    </x:row>
    <x:row r="28">
      <x:c r="A28" s="2" t="inlineStr">
        <x:is>
          <x:t xml:space="preserve">Lesotho</x:t>
        </x:is>
      </x:c>
      <x:c r="B28" s="2" t="inlineStr">
        <x:is>
          <x:t xml:space="preserve">LSO</x:t>
        </x:is>
      </x:c>
      <x:c r="C28" s="2" t="inlineStr">
        <x:is>
          <x:t xml:space="preserve">Balancing</x:t>
        </x:is>
      </x:c>
      <x:c r="D28" s="2" t="n">
        <x:v>3</x:v>
      </x:c>
      <x:c r="E28" s="2" t="n">
        <x:v>0</x:v>
      </x:c>
      <x:c r="F28" s="2" t="n">
        <x:v>3</x:v>
      </x:c>
      <x:c r="G28" s="2" t="n">
        <x:v>0</x:v>
      </x:c>
      <x:c r="H28" s="2" t="n">
        <x:v>3</x:v>
      </x:c>
      <x:c r="I28" s="2" t="n">
        <x:v>0</x:v>
      </x:c>
      <x:c r="J28" s="2" t="n">
        <x:v>0</x:v>
      </x:c>
      <x:c r="K28" s="2" t="inlineStr">
        <x:is>
          <x:t xml:space="preserve">Explicit zeros are preserved as 0; blanks remain missing.</x:t>
        </x:is>
      </x:c>
    </x:row>
    <x:row r="29">
      <x:c r="A29" s="2" t="inlineStr">
        <x:is>
          <x:t xml:space="preserve">Liberia</x:t>
        </x:is>
      </x:c>
      <x:c r="B29" s="2" t="inlineStr">
        <x:is>
          <x:t xml:space="preserve">LBR</x:t>
        </x:is>
      </x:c>
      <x:c r="C29" s="2" t="inlineStr">
        <x:is>
          <x:t xml:space="preserve">Lagging</x:t>
        </x:is>
      </x:c>
      <x:c r="D29" s="2" t="n">
        <x:v>3</x:v>
      </x:c>
      <x:c r="E29" s="2" t="n">
        <x:v>0</x:v>
      </x:c>
      <x:c r="F29" s="2" t="n">
        <x:v>3</x:v>
      </x:c>
      <x:c r="G29" s="2" t="n">
        <x:v>0</x:v>
      </x:c>
      <x:c r="H29" s="2" t="n">
        <x:v>3</x:v>
      </x:c>
      <x:c r="I29" s="2" t="n">
        <x:v>0</x:v>
      </x:c>
      <x:c r="J29" s="2" t="n">
        <x:v>0</x:v>
      </x:c>
      <x:c r="K29" s="2" t="inlineStr">
        <x:is>
          <x:t xml:space="preserve">Explicit zeros are preserved as 0; blanks remain missing.</x:t>
        </x:is>
      </x:c>
    </x:row>
    <x:row r="30">
      <x:c r="A30" s="2" t="inlineStr">
        <x:is>
          <x:t xml:space="preserve">Libya</x:t>
        </x:is>
      </x:c>
      <x:c r="B30" s="2" t="inlineStr">
        <x:is>
          <x:t xml:space="preserve">LBY</x:t>
        </x:is>
      </x:c>
      <x:c r="C30" s="2" t="inlineStr">
        <x:is>
          <x:t xml:space="preserve">Lagging</x:t>
        </x:is>
      </x:c>
      <x:c r="D30" s="2" t="n">
        <x:v>0</x:v>
      </x:c>
      <x:c r="E30" s="2" t="n">
        <x:v>0</x:v>
      </x:c>
      <x:c r="F30" s="2" t="n">
        <x:v>0</x:v>
      </x:c>
      <x:c r="G30" s="2" t="n">
        <x:v>0</x:v>
      </x:c>
      <x:c r="H30" s="2" t="n">
        <x:v>3</x:v>
      </x:c>
      <x:c r="I30" s="2" t="n">
        <x:v>0</x:v>
      </x:c>
      <x:c r="J30" s="2" t="n">
        <x:v>0</x:v>
      </x:c>
      <x:c r="K30" s="2" t="inlineStr">
        <x:is>
          <x:t xml:space="preserve">Explicit zeros are preserved as 0; blanks remain missing.</x:t>
        </x:is>
      </x:c>
    </x:row>
    <x:row r="31">
      <x:c r="A31" s="2" t="inlineStr">
        <x:is>
          <x:t xml:space="preserve">Madagascar</x:t>
        </x:is>
      </x:c>
      <x:c r="B31" s="2" t="inlineStr">
        <x:is>
          <x:t xml:space="preserve">MDG</x:t>
        </x:is>
      </x:c>
      <x:c r="C31" s="2" t="inlineStr">
        <x:is>
          <x:t xml:space="preserve">Lagging</x:t>
        </x:is>
      </x:c>
      <x:c r="D31" s="2" t="n">
        <x:v>0</x:v>
      </x:c>
      <x:c r="E31" s="2" t="n">
        <x:v>0</x:v>
      </x:c>
      <x:c r="F31" s="2" t="n">
        <x:v>3</x:v>
      </x:c>
      <x:c r="G31" s="2" t="n">
        <x:v>0</x:v>
      </x:c>
      <x:c r="H31" s="2" t="n">
        <x:v>0</x:v>
      </x:c>
      <x:c r="I31" s="2" t="n">
        <x:v>0</x:v>
      </x:c>
      <x:c r="J31" s="2" t="n">
        <x:v>0</x:v>
      </x:c>
      <x:c r="K31" s="2" t="inlineStr">
        <x:is>
          <x:t xml:space="preserve">Explicit zeros are preserved as 0; blanks remain missing.</x:t>
        </x:is>
      </x:c>
    </x:row>
    <x:row r="32">
      <x:c r="A32" s="2" t="inlineStr">
        <x:is>
          <x:t xml:space="preserve">Malawi</x:t>
        </x:is>
      </x:c>
      <x:c r="B32" s="2" t="inlineStr">
        <x:is>
          <x:t xml:space="preserve">MWI</x:t>
        </x:is>
      </x:c>
      <x:c r="C32" s="2" t="inlineStr">
        <x:is>
          <x:t xml:space="preserve">Lagging</x:t>
        </x:is>
      </x:c>
      <x:c r="D32" s="2" t="n">
        <x:v>1</x:v>
      </x:c>
      <x:c r="E32" s="2" t="n">
        <x:v>0</x:v>
      </x:c>
      <x:c r="F32" s="2" t="n">
        <x:v>3</x:v>
      </x:c>
      <x:c r="G32" s="2" t="n">
        <x:v>0</x:v>
      </x:c>
      <x:c r="H32" s="2" t="n">
        <x:v>0</x:v>
      </x:c>
      <x:c r="I32" s="2" t="n">
        <x:v>0</x:v>
      </x:c>
      <x:c r="J32" s="2" t="n">
        <x:v>0</x:v>
      </x:c>
      <x:c r="K32" s="2" t="inlineStr">
        <x:is>
          <x:t xml:space="preserve">Explicit zeros are preserved as 0; blanks remain missing.</x:t>
        </x:is>
      </x:c>
    </x:row>
    <x:row r="33">
      <x:c r="A33" s="2" t="inlineStr">
        <x:is>
          <x:t xml:space="preserve">Mali</x:t>
        </x:is>
      </x:c>
      <x:c r="B33" s="2" t="inlineStr">
        <x:is>
          <x:t xml:space="preserve">MLI</x:t>
        </x:is>
      </x:c>
      <x:c r="C33" s="2" t="inlineStr">
        <x:is>
          <x:t xml:space="preserve">Balancing</x:t>
        </x:is>
      </x:c>
      <x:c r="D33" s="2" t="n">
        <x:v>3</x:v>
      </x:c>
      <x:c r="E33" s="2" t="n">
        <x:v>0</x:v>
      </x:c>
      <x:c r="F33" s="2" t="n">
        <x:v>3</x:v>
      </x:c>
      <x:c r="G33" s="2" t="n">
        <x:v>0</x:v>
      </x:c>
      <x:c r="H33" s="2" t="n">
        <x:v>3</x:v>
      </x:c>
      <x:c r="I33" s="2" t="n">
        <x:v>0</x:v>
      </x:c>
      <x:c r="J33" s="2" t="n">
        <x:v>0</x:v>
      </x:c>
      <x:c r="K33" s="2" t="inlineStr">
        <x:is>
          <x:t xml:space="preserve">Explicit zeros are preserved as 0; blanks remain missing.</x:t>
        </x:is>
      </x:c>
    </x:row>
    <x:row r="34">
      <x:c r="A34" s="2" t="inlineStr">
        <x:is>
          <x:t xml:space="preserve">Mauritania</x:t>
        </x:is>
      </x:c>
      <x:c r="B34" s="2" t="inlineStr">
        <x:is>
          <x:t xml:space="preserve">MRT</x:t>
        </x:is>
      </x:c>
      <x:c r="C34" s="2" t="inlineStr">
        <x:is>
          <x:t xml:space="preserve">Lagging</x:t>
        </x:is>
      </x:c>
      <x:c r="D34" s="2" t="n">
        <x:v>0</x:v>
      </x:c>
      <x:c r="E34" s="2" t="n">
        <x:v>0</x:v>
      </x:c>
      <x:c r="F34" s="2" t="n">
        <x:v>3</x:v>
      </x:c>
      <x:c r="G34" s="2" t="n">
        <x:v>0</x:v>
      </x:c>
      <x:c r="H34" s="2" t="n">
        <x:v>0</x:v>
      </x:c>
      <x:c r="I34" s="2" t="n">
        <x:v>0</x:v>
      </x:c>
      <x:c r="J34" s="2" t="n">
        <x:v>0</x:v>
      </x:c>
      <x:c r="K34" s="2" t="inlineStr">
        <x:is>
          <x:t xml:space="preserve">Explicit zeros are preserved as 0; blanks remain missing.</x:t>
        </x:is>
      </x:c>
    </x:row>
    <x:row r="35">
      <x:c r="A35" s="2" t="inlineStr">
        <x:is>
          <x:t xml:space="preserve">Mauritius</x:t>
        </x:is>
      </x:c>
      <x:c r="B35" s="2" t="inlineStr">
        <x:is>
          <x:t xml:space="preserve">MUS</x:t>
        </x:is>
      </x:c>
      <x:c r="C35" s="2" t="inlineStr">
        <x:is>
          <x:t xml:space="preserve">Lagging</x:t>
        </x:is>
      </x:c>
      <x:c r="D35" s="2" t="n">
        <x:v>1</x:v>
      </x:c>
      <x:c r="E35" s="2" t="n">
        <x:v>0</x:v>
      </x:c>
      <x:c r="F35" s="2" t="n">
        <x:v>3</x:v>
      </x:c>
      <x:c r="G35" s="2" t="n">
        <x:v>0</x:v>
      </x:c>
      <x:c r="H35" s="2" t="n">
        <x:v>3</x:v>
      </x:c>
      <x:c r="I35" s="2" t="n">
        <x:v>0</x:v>
      </x:c>
      <x:c r="J35" s="2" t="n">
        <x:v>0</x:v>
      </x:c>
      <x:c r="K35" s="2" t="inlineStr">
        <x:is>
          <x:t xml:space="preserve">Explicit zeros are preserved as 0; blanks remain missing.</x:t>
        </x:is>
      </x:c>
    </x:row>
    <x:row r="36">
      <x:c r="A36" s="2" t="inlineStr">
        <x:is>
          <x:t xml:space="preserve">Morocco</x:t>
        </x:is>
      </x:c>
      <x:c r="B36" s="2" t="inlineStr">
        <x:is>
          <x:t xml:space="preserve">MAR</x:t>
        </x:is>
      </x:c>
      <x:c r="C36" s="2" t="inlineStr">
        <x:is>
          <x:t xml:space="preserve">Leading</x:t>
        </x:is>
      </x:c>
      <x:c r="D36" s="2" t="n">
        <x:v>0</x:v>
      </x:c>
      <x:c r="E36" s="2" t="n">
        <x:v>0</x:v>
      </x:c>
      <x:c r="F36" s="2" t="n">
        <x:v>0</x:v>
      </x:c>
      <x:c r="G36" s="2" t="n">
        <x:v>0</x:v>
      </x:c>
      <x:c r="H36" s="2" t="n">
        <x:v>3</x:v>
      </x:c>
      <x:c r="I36" s="2" t="n">
        <x:v>0</x:v>
      </x:c>
      <x:c r="J36" s="2" t="n">
        <x:v>0</x:v>
      </x:c>
      <x:c r="K36" s="2" t="inlineStr">
        <x:is>
          <x:t xml:space="preserve">Explicit zeros are preserved as 0; blanks remain missing.</x:t>
        </x:is>
      </x:c>
    </x:row>
    <x:row r="37">
      <x:c r="A37" s="2" t="inlineStr">
        <x:is>
          <x:t xml:space="preserve">Namibia</x:t>
        </x:is>
      </x:c>
      <x:c r="B37" s="2" t="inlineStr">
        <x:is>
          <x:t xml:space="preserve">NAM</x:t>
        </x:is>
      </x:c>
      <x:c r="C37" s="2" t="inlineStr">
        <x:is>
          <x:t xml:space="preserve">Balancing</x:t>
        </x:is>
      </x:c>
      <x:c r="D37" s="2" t="n">
        <x:v>3</x:v>
      </x:c>
      <x:c r="E37" s="2" t="n">
        <x:v>0</x:v>
      </x:c>
      <x:c r="F37" s="2" t="n">
        <x:v>3</x:v>
      </x:c>
      <x:c r="G37" s="2" t="n">
        <x:v>0</x:v>
      </x:c>
      <x:c r="H37" s="2" t="n">
        <x:v>3</x:v>
      </x:c>
      <x:c r="I37" s="2" t="n">
        <x:v>0</x:v>
      </x:c>
      <x:c r="J37" s="2" t="n">
        <x:v>0</x:v>
      </x:c>
      <x:c r="K37" s="2" t="inlineStr">
        <x:is>
          <x:t xml:space="preserve">Explicit zeros are preserved as 0; blanks remain missing.</x:t>
        </x:is>
      </x:c>
    </x:row>
    <x:row r="38">
      <x:c r="A38" s="2" t="inlineStr">
        <x:is>
          <x:t xml:space="preserve">Niger</x:t>
        </x:is>
      </x:c>
      <x:c r="B38" s="2" t="inlineStr">
        <x:is>
          <x:t xml:space="preserve">NER</x:t>
        </x:is>
      </x:c>
      <x:c r="C38" s="2" t="inlineStr">
        <x:is>
          <x:t xml:space="preserve">Lagging</x:t>
        </x:is>
      </x:c>
      <x:c r="D38" s="2" t="n">
        <x:v>0</x:v>
      </x:c>
      <x:c r="E38" s="2" t="n">
        <x:v>0</x:v>
      </x:c>
      <x:c r="F38" s="2" t="n">
        <x:v>3</x:v>
      </x:c>
      <x:c r="G38" s="2" t="n">
        <x:v>0</x:v>
      </x:c>
      <x:c r="H38" s="2" t="n">
        <x:v>0</x:v>
      </x:c>
      <x:c r="I38" s="2" t="n">
        <x:v>0</x:v>
      </x:c>
      <x:c r="J38" s="2" t="n">
        <x:v>0</x:v>
      </x:c>
      <x:c r="K38" s="2" t="inlineStr">
        <x:is>
          <x:t xml:space="preserve">Explicit zeros are preserved as 0; blanks remain missing.</x:t>
        </x:is>
      </x:c>
    </x:row>
    <x:row r="39">
      <x:c r="A39" s="2" t="inlineStr">
        <x:is>
          <x:t xml:space="preserve">Rwanda</x:t>
        </x:is>
      </x:c>
      <x:c r="B39" s="2" t="inlineStr">
        <x:is>
          <x:t xml:space="preserve">RWA</x:t>
        </x:is>
      </x:c>
      <x:c r="C39" s="2" t="inlineStr">
        <x:is>
          <x:t xml:space="preserve">Balancing</x:t>
        </x:is>
      </x:c>
      <x:c r="D39" s="2" t="n">
        <x:v>3</x:v>
      </x:c>
      <x:c r="E39" s="2" t="n">
        <x:v>0</x:v>
      </x:c>
      <x:c r="F39" s="2" t="n">
        <x:v>0</x:v>
      </x:c>
      <x:c r="G39" s="2" t="n">
        <x:v>0</x:v>
      </x:c>
      <x:c r="H39" s="2" t="n">
        <x:v>3</x:v>
      </x:c>
      <x:c r="I39" s="2" t="n">
        <x:v>0</x:v>
      </x:c>
      <x:c r="J39" s="2" t="n">
        <x:v>0</x:v>
      </x:c>
      <x:c r="K39" s="2" t="inlineStr">
        <x:is>
          <x:t xml:space="preserve">Explicit zeros are preserved as 0; blanks remain missing.</x:t>
        </x:is>
      </x:c>
    </x:row>
    <x:row r="40">
      <x:c r="A40" s="2" t="inlineStr">
        <x:is>
          <x:t xml:space="preserve">Sao Tome and Principe</x:t>
        </x:is>
      </x:c>
      <x:c r="B40" s="2" t="inlineStr">
        <x:is>
          <x:t xml:space="preserve">STP</x:t>
        </x:is>
      </x:c>
      <x:c r="C40" s="2" t="inlineStr">
        <x:is>
          <x:t xml:space="preserve">Lagging</x:t>
        </x:is>
      </x:c>
      <x:c r="D40" s="2" t="n">
        <x:v>3</x:v>
      </x:c>
      <x:c r="E40" s="2" t="n">
        <x:v>0</x:v>
      </x:c>
      <x:c r="F40" s="2" t="n">
        <x:v>3</x:v>
      </x:c>
      <x:c r="G40" s="2" t="n">
        <x:v>0</x:v>
      </x:c>
      <x:c r="H40" s="2" t="n">
        <x:v>3</x:v>
      </x:c>
      <x:c r="I40" s="2" t="n">
        <x:v>0</x:v>
      </x:c>
      <x:c r="J40" s="2" t="n">
        <x:v>0</x:v>
      </x:c>
      <x:c r="K40" s="2" t="inlineStr">
        <x:is>
          <x:t xml:space="preserve">Explicit zeros are preserved as 0; blanks remain missing.</x:t>
        </x:is>
      </x:c>
    </x:row>
    <x:row r="41">
      <x:c r="A41" s="2" t="inlineStr">
        <x:is>
          <x:t xml:space="preserve">Senegal</x:t>
        </x:is>
      </x:c>
      <x:c r="B41" s="2" t="inlineStr">
        <x:is>
          <x:t xml:space="preserve">SEN</x:t>
        </x:is>
      </x:c>
      <x:c r="C41" s="2" t="inlineStr">
        <x:is>
          <x:t xml:space="preserve">Lagging</x:t>
        </x:is>
      </x:c>
      <x:c r="D41" s="2" t="n">
        <x:v>3</x:v>
      </x:c>
      <x:c r="E41" s="2" t="n">
        <x:v>0</x:v>
      </x:c>
      <x:c r="F41" s="2" t="n">
        <x:v>0</x:v>
      </x:c>
      <x:c r="G41" s="2" t="n">
        <x:v>0</x:v>
      </x:c>
      <x:c r="H41" s="2" t="n">
        <x:v>3</x:v>
      </x:c>
      <x:c r="I41" s="2" t="n">
        <x:v>0</x:v>
      </x:c>
      <x:c r="J41" s="2" t="n">
        <x:v>0</x:v>
      </x:c>
      <x:c r="K41" s="2" t="inlineStr">
        <x:is>
          <x:t xml:space="preserve">Explicit zeros are preserved as 0; blanks remain missing.</x:t>
        </x:is>
      </x:c>
    </x:row>
    <x:row r="42">
      <x:c r="A42" s="2" t="inlineStr">
        <x:is>
          <x:t xml:space="preserve">Seychelles</x:t>
        </x:is>
      </x:c>
      <x:c r="B42" s="2" t="inlineStr">
        <x:is>
          <x:t xml:space="preserve">SYC</x:t>
        </x:is>
      </x:c>
      <x:c r="C42" s="2" t="inlineStr">
        <x:is>
          <x:t xml:space="preserve">Lagging</x:t>
        </x:is>
      </x:c>
      <x:c r="D42" s="2" t="n">
        <x:v>3</x:v>
      </x:c>
      <x:c r="E42" s="2" t="n">
        <x:v>0</x:v>
      </x:c>
      <x:c r="F42" s="2" t="n">
        <x:v>3</x:v>
      </x:c>
      <x:c r="G42" s="2" t="n">
        <x:v>0</x:v>
      </x:c>
      <x:c r="H42" s="2" t="n">
        <x:v>3</x:v>
      </x:c>
      <x:c r="I42" s="2" t="n">
        <x:v>0</x:v>
      </x:c>
      <x:c r="J42" s="2" t="n">
        <x:v>0</x:v>
      </x:c>
      <x:c r="K42" s="2" t="inlineStr">
        <x:is>
          <x:t xml:space="preserve">Explicit zeros are preserved as 0; blanks remain missing.</x:t>
        </x:is>
      </x:c>
    </x:row>
    <x:row r="43">
      <x:c r="A43" s="2" t="inlineStr">
        <x:is>
          <x:t xml:space="preserve">Sierra Leone</x:t>
        </x:is>
      </x:c>
      <x:c r="B43" s="2" t="inlineStr">
        <x:is>
          <x:t xml:space="preserve">SLE</x:t>
        </x:is>
      </x:c>
      <x:c r="C43" s="2" t="inlineStr">
        <x:is>
          <x:t xml:space="preserve">Lagging</x:t>
        </x:is>
      </x:c>
      <x:c r="D43" s="2" t="n">
        <x:v>3</x:v>
      </x:c>
      <x:c r="E43" s="2" t="n">
        <x:v>0</x:v>
      </x:c>
      <x:c r="F43" s="2" t="n">
        <x:v>0</x:v>
      </x:c>
      <x:c r="G43" s="2" t="n">
        <x:v>3</x:v>
      </x:c>
      <x:c r="H43" s="2" t="n">
        <x:v>3</x:v>
      </x:c>
      <x:c r="I43" s="2" t="n">
        <x:v>0</x:v>
      </x:c>
      <x:c r="J43" s="2" t="n">
        <x:v>3</x:v>
      </x:c>
      <x:c r="K43" s="2" t="inlineStr">
        <x:is>
          <x:t xml:space="preserve">Explicit zeros are preserved as 0; blanks remain missing.</x:t>
        </x:is>
      </x:c>
    </x:row>
    <x:row r="44">
      <x:c r="A44" s="2" t="inlineStr">
        <x:is>
          <x:t xml:space="preserve">Somalia</x:t>
        </x:is>
      </x:c>
      <x:c r="B44" s="2" t="inlineStr">
        <x:is>
          <x:t xml:space="preserve">SOM</x:t>
        </x:is>
      </x:c>
      <x:c r="C44" s="2" t="inlineStr">
        <x:is>
          <x:t xml:space="preserve">Lagging</x:t>
        </x:is>
      </x:c>
      <x:c r="D44" s="2" t="n">
        <x:v>3</x:v>
      </x:c>
      <x:c r="E44" s="2" t="n">
        <x:v>0</x:v>
      </x:c>
      <x:c r="F44" s="2" t="n">
        <x:v>3</x:v>
      </x:c>
      <x:c r="G44" s="2" t="n">
        <x:v>0</x:v>
      </x:c>
      <x:c r="H44" s="2" t="n">
        <x:v>3</x:v>
      </x:c>
      <x:c r="I44" s="2" t="n">
        <x:v>0</x:v>
      </x:c>
      <x:c r="J44" s="2" t="n">
        <x:v>0</x:v>
      </x:c>
      <x:c r="K44" s="2" t="inlineStr">
        <x:is>
          <x:t xml:space="preserve">Explicit zeros are preserved as 0; blanks remain missing.</x:t>
        </x:is>
      </x:c>
    </x:row>
    <x:row r="45">
      <x:c r="A45" s="2" t="inlineStr">
        <x:is>
          <x:t xml:space="preserve">South Sudan</x:t>
        </x:is>
      </x:c>
      <x:c r="B45" s="2" t="inlineStr">
        <x:is>
          <x:t xml:space="preserve">SSD</x:t>
        </x:is>
      </x:c>
      <x:c r="C45" s="2" t="inlineStr">
        <x:is>
          <x:t xml:space="preserve">Lagging</x:t>
        </x:is>
      </x:c>
      <x:c r="D45" s="2" t="n">
        <x:v>0</x:v>
      </x:c>
      <x:c r="E45" s="2" t="n">
        <x:v>2</x:v>
      </x:c>
      <x:c r="F45" s="2" t="n">
        <x:v>1</x:v>
      </x:c>
      <x:c r="G45" s="2" t="n">
        <x:v>2</x:v>
      </x:c>
      <x:c r="H45" s="2" t="n">
        <x:v>1</x:v>
      </x:c>
      <x:c r="I45" s="2" t="n">
        <x:v>2</x:v>
      </x:c>
      <x:c r="J45" s="2" t="n">
        <x:v>2</x:v>
      </x:c>
      <x:c r="K45" s="2" t="inlineStr">
        <x:is>
          <x:t xml:space="preserve">Explicit zeros are preserved as 0; blanks remain missing.</x:t>
        </x:is>
      </x:c>
    </x:row>
    <x:row r="46">
      <x:c r="A46" s="2" t="inlineStr">
        <x:is>
          <x:t xml:space="preserve">Sudan</x:t>
        </x:is>
      </x:c>
      <x:c r="B46" s="2" t="inlineStr">
        <x:is>
          <x:t xml:space="preserve">SDN</x:t>
        </x:is>
      </x:c>
      <x:c r="C46" s="2" t="inlineStr">
        <x:is>
          <x:t xml:space="preserve">Balancing</x:t>
        </x:is>
      </x:c>
      <x:c r="D46" s="2" t="n">
        <x:v>0</x:v>
      </x:c>
      <x:c r="E46" s="2" t="n">
        <x:v>0</x:v>
      </x:c>
      <x:c r="F46" s="2" t="n">
        <x:v>3</x:v>
      </x:c>
      <x:c r="G46" s="2" t="n">
        <x:v>0</x:v>
      </x:c>
      <x:c r="H46" s="2" t="n">
        <x:v>3</x:v>
      </x:c>
      <x:c r="I46" s="2" t="n">
        <x:v>0</x:v>
      </x:c>
      <x:c r="J46" s="2" t="n">
        <x:v>0</x:v>
      </x:c>
      <x:c r="K46" s="2" t="inlineStr">
        <x:is>
          <x:t xml:space="preserve">Explicit zeros are preserved as 0; blanks remain missing.</x:t>
        </x:is>
      </x:c>
    </x:row>
    <x:row r="47">
      <x:c r="A47" s="2" t="inlineStr">
        <x:is>
          <x:t xml:space="preserve">United Republic of Tanzania</x:t>
        </x:is>
      </x:c>
      <x:c r="B47" s="2" t="inlineStr">
        <x:is>
          <x:t xml:space="preserve">TZA</x:t>
        </x:is>
      </x:c>
      <x:c r="C47" s="2" t="inlineStr">
        <x:is>
          <x:t xml:space="preserve">Leading</x:t>
        </x:is>
      </x:c>
      <x:c r="D47" s="2" t="n">
        <x:v>3</x:v>
      </x:c>
      <x:c r="E47" s="2" t="n">
        <x:v>0</x:v>
      </x:c>
      <x:c r="F47" s="2" t="n">
        <x:v>0</x:v>
      </x:c>
      <x:c r="G47" s="2" t="n">
        <x:v>0</x:v>
      </x:c>
      <x:c r="H47" s="2" t="n">
        <x:v>0</x:v>
      </x:c>
      <x:c r="I47" s="2" t="n">
        <x:v>0</x:v>
      </x:c>
      <x:c r="J47" s="2" t="n">
        <x:v>0</x:v>
      </x:c>
      <x:c r="K47" s="2" t="inlineStr">
        <x:is>
          <x:t xml:space="preserve">Explicit zeros are preserved as 0; blanks remain missing.</x:t>
        </x:is>
      </x:c>
    </x:row>
    <x:row r="48">
      <x:c r="A48" s="2" t="inlineStr">
        <x:is>
          <x:t xml:space="preserve">Togo</x:t>
        </x:is>
      </x:c>
      <x:c r="B48" s="2" t="inlineStr">
        <x:is>
          <x:t xml:space="preserve">TGO</x:t>
        </x:is>
      </x:c>
      <x:c r="C48" s="2" t="inlineStr">
        <x:is>
          <x:t xml:space="preserve">Balancing</x:t>
        </x:is>
      </x:c>
      <x:c r="D48" s="2" t="n">
        <x:v>3</x:v>
      </x:c>
      <x:c r="E48" s="2" t="n">
        <x:v>0</x:v>
      </x:c>
      <x:c r="F48" s="2" t="n">
        <x:v>3</x:v>
      </x:c>
      <x:c r="G48" s="2" t="n">
        <x:v>0</x:v>
      </x:c>
      <x:c r="H48" s="2" t="n">
        <x:v>3</x:v>
      </x:c>
      <x:c r="I48" s="2" t="n">
        <x:v>0</x:v>
      </x:c>
      <x:c r="J48" s="2" t="n">
        <x:v>0</x:v>
      </x:c>
      <x:c r="K48" s="2" t="inlineStr">
        <x:is>
          <x:t xml:space="preserve">Explicit zeros are preserved as 0; blanks remain missing.</x:t>
        </x:is>
      </x:c>
    </x:row>
    <x:row r="49">
      <x:c r="A49" s="2" t="inlineStr">
        <x:is>
          <x:t xml:space="preserve">Tunisia</x:t>
        </x:is>
      </x:c>
      <x:c r="B49" s="2" t="inlineStr">
        <x:is>
          <x:t xml:space="preserve">TUN</x:t>
        </x:is>
      </x:c>
      <x:c r="C49" s="2" t="inlineStr">
        <x:is>
          <x:t xml:space="preserve">Leading</x:t>
        </x:is>
      </x:c>
      <x:c r="D49" s="2" t="n">
        <x:v>0</x:v>
      </x:c>
      <x:c r="E49" s="2" t="n">
        <x:v>0</x:v>
      </x:c>
      <x:c r="F49" s="2" t="n">
        <x:v>0</x:v>
      </x:c>
      <x:c r="G49" s="2" t="n">
        <x:v>0</x:v>
      </x:c>
      <x:c r="H49" s="2" t="n">
        <x:v>3</x:v>
      </x:c>
      <x:c r="I49" s="2" t="n">
        <x:v>0</x:v>
      </x:c>
      <x:c r="J49" s="2" t="n">
        <x:v>0</x:v>
      </x:c>
      <x:c r="K49" s="2" t="inlineStr">
        <x:is>
          <x:t xml:space="preserve">Explicit zeros are preserved as 0; blanks remain missing.</x:t>
        </x:is>
      </x:c>
    </x:row>
    <x:row r="50">
      <x:c r="A50" s="2" t="inlineStr">
        <x:is>
          <x:t xml:space="preserve">Uganda</x:t>
        </x:is>
      </x:c>
      <x:c r="B50" s="2" t="inlineStr">
        <x:is>
          <x:t xml:space="preserve">UGA</x:t>
        </x:is>
      </x:c>
      <x:c r="C50" s="2" t="inlineStr">
        <x:is>
          <x:t xml:space="preserve">Balancing</x:t>
        </x:is>
      </x:c>
      <x:c r="D50" s="2" t="n">
        <x:v>3</x:v>
      </x:c>
      <x:c r="E50" s="2" t="n">
        <x:v>0</x:v>
      </x:c>
      <x:c r="F50" s="2" t="n">
        <x:v>3</x:v>
      </x:c>
      <x:c r="G50" s="2" t="n">
        <x:v>0</x:v>
      </x:c>
      <x:c r="H50" s="2" t="n">
        <x:v>3</x:v>
      </x:c>
      <x:c r="I50" s="2" t="n">
        <x:v>0</x:v>
      </x:c>
      <x:c r="J50" s="2" t="n">
        <x:v>0</x:v>
      </x:c>
      <x:c r="K50" s="2" t="inlineStr">
        <x:is>
          <x:t xml:space="preserve">Explicit zeros are preserved as 0; blanks remain missing.</x:t>
        </x:is>
      </x:c>
    </x:row>
    <x:row r="51">
      <x:c r="A51" s="2" t="inlineStr">
        <x:is>
          <x:t xml:space="preserve">Zambia</x:t>
        </x:is>
      </x:c>
      <x:c r="B51" s="2" t="inlineStr">
        <x:is>
          <x:t xml:space="preserve">ZMB</x:t>
        </x:is>
      </x:c>
      <x:c r="C51" s="2" t="inlineStr">
        <x:is>
          <x:t xml:space="preserve">Balancing</x:t>
        </x:is>
      </x:c>
      <x:c r="D51" s="2" t="n">
        <x:v>3</x:v>
      </x:c>
      <x:c r="E51" s="2" t="n">
        <x:v>0</x:v>
      </x:c>
      <x:c r="F51" s="2" t="n">
        <x:v>3</x:v>
      </x:c>
      <x:c r="G51" s="2" t="n">
        <x:v>0</x:v>
      </x:c>
      <x:c r="H51" s="2" t="n">
        <x:v>0</x:v>
      </x:c>
      <x:c r="I51" s="2" t="n">
        <x:v>0</x:v>
      </x:c>
      <x:c r="J51" s="2" t="n">
        <x:v>0</x:v>
      </x:c>
      <x:c r="K51" s="2" t="inlineStr">
        <x:is>
          <x:t xml:space="preserve">Explicit zeros are preserved as 0; blanks remain missing.</x:t>
        </x:is>
      </x:c>
    </x:row>
    <x:row r="52">
      <x:c r="A52" s="2" t="inlineStr">
        <x:is>
          <x:t xml:space="preserve">Zimbabwe</x:t>
        </x:is>
      </x:c>
      <x:c r="B52" s="2" t="inlineStr">
        <x:is>
          <x:t xml:space="preserve">ZWE</x:t>
        </x:is>
      </x:c>
      <x:c r="C52" s="2" t="inlineStr">
        <x:is>
          <x:t xml:space="preserve">Balancing</x:t>
        </x:is>
      </x:c>
      <x:c r="D52" s="2" t="n">
        <x:v>0</x:v>
      </x:c>
      <x:c r="E52" s="2" t="n">
        <x:v>0</x:v>
      </x:c>
      <x:c r="F52" s="2" t="n">
        <x:v>3</x:v>
      </x:c>
      <x:c r="G52" s="2" t="n">
        <x:v>0</x:v>
      </x:c>
      <x:c r="H52" s="2" t="n">
        <x:v>0</x:v>
      </x:c>
      <x:c r="I52" s="2" t="n">
        <x:v>0</x:v>
      </x:c>
      <x:c r="J52" s="2" t="n">
        <x:v>0</x:v>
      </x:c>
      <x:c r="K52" s="2" t="inlineStr">
        <x:is>
          <x:t xml:space="preserve">Explicit zeros are preserved as 0; blanks remain missing.</x:t>
        </x:is>
      </x:c>
    </x:row>
  </x:sheetData>
  <x:conditionalFormatting sqref="E2:E52">
    <x:cfRule type="cellIs" dxfId="0" priority="1" operator="greaterThan">
      <x:formula>0</x:formula>
    </x:cfRule>
  </x:conditionalFormatting>
  <x:conditionalFormatting sqref="G2:G52">
    <x:cfRule type="cellIs" dxfId="0" priority="2" operator="greaterThan">
      <x:formula>0</x:formula>
    </x:cfRule>
  </x:conditionalFormatting>
  <x:conditionalFormatting sqref="I2:I52">
    <x:cfRule type="cellIs" dxfId="0" priority="3" operator="greaterThan">
      <x:formula>0</x:formula>
    </x:cfRule>
  </x:conditionalFormatting>
  <x:conditionalFormatting sqref="J2:J52">
    <x:cfRule type="cellIs" dxfId="0" priority="4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7aac670ecef4c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34" customWidth="1"/>
    <x:col min="3" max="3" width="42" customWidth="1"/>
    <x:col min="4" max="4" width="24" customWidth="1"/>
    <x:col min="5" max="5" width="33" customWidth="1"/>
    <x:col min="6" max="6" width="36" customWidth="1"/>
    <x:col min="7" max="7" width="14" customWidth="1"/>
    <x:col min="8" max="8" width="52" customWidth="1"/>
    <x:col min="9" max="9" width="30" customWidth="1"/>
  </x:cols>
  <x:sheetData>
    <x:row r="1" ht="34" customHeight="1">
      <x:c r="A1" s="5" t="inlineStr">
        <x:is>
          <x:t xml:space="preserve">Variable</x:t>
        </x:is>
      </x:c>
      <x:c r="B1" s="5" t="inlineStr">
        <x:is>
          <x:t xml:space="preserve">Theoretical dimension</x:t>
        </x:is>
      </x:c>
      <x:c r="C1" s="5" t="inlineStr">
        <x:is>
          <x:t xml:space="preserve">Operational definition</x:t>
        </x:is>
      </x:c>
      <x:c r="D1" s="5" t="inlineStr">
        <x:is>
          <x:t xml:space="preserve">Unit</x:t>
        </x:is>
      </x:c>
      <x:c r="E1" s="5" t="inlineStr">
        <x:is>
          <x:t xml:space="preserve">Source</x:t>
        </x:is>
      </x:c>
      <x:c r="F1" s="5" t="inlineStr">
        <x:is>
          <x:t xml:space="preserve">Code / sheet</x:t>
        </x:is>
      </x:c>
      <x:c r="G1" s="5" t="inlineStr">
        <x:is>
          <x:t xml:space="preserve">Window</x:t>
        </x:is>
      </x:c>
      <x:c r="H1" s="5" t="inlineStr">
        <x:is>
          <x:t xml:space="preserve">Construction / audit rule</x:t>
        </x:is>
      </x:c>
      <x:c r="I1" s="5" t="inlineStr">
        <x:is>
          <x:t xml:space="preserve">Use</x:t>
        </x:is>
      </x:c>
    </x:row>
    <x:row r="2">
      <x:c r="A2" s="2" t="inlineStr">
        <x:is>
          <x:t xml:space="preserve">GE</x:t>
        </x:is>
      </x:c>
      <x:c r="B2" s="2" t="inlineStr">
        <x:is>
          <x:t xml:space="preserve">State capacity</x:t>
        </x:is>
      </x:c>
      <x:c r="C2" s="2" t="inlineStr">
        <x:is>
          <x:t xml:space="preserve">Worldwide Governance Indicators: Government Effectiveness estimate</x:t>
        </x:is>
      </x:c>
      <x:c r="D2" s="2" t="inlineStr">
        <x:is>
          <x:t xml:space="preserve">approx. -2.5 to +2.5</x:t>
        </x:is>
      </x:c>
      <x:c r="E2" s="2" t="inlineStr">
        <x:is>
          <x:t xml:space="preserve">World Bank WGI</x:t>
        </x:is>
      </x:c>
      <x:c r="F2" s="2" t="inlineStr">
        <x:is>
          <x:t xml:space="preserve">sheet ge; estimate column</x:t>
        </x:is>
      </x:c>
      <x:c r="G2" s="2" t="inlineStr">
        <x:is>
          <x:t xml:space="preserve">2015–2017</x:t>
        </x:is>
      </x:c>
      <x:c r="H2" s="2" t="inlineStr">
        <x:is>
          <x:t xml:space="preserve">3-year mean only if all three years observed</x:t>
        </x:is>
      </x:c>
      <x:c r="I2" s="2" t="inlineStr">
        <x:is>
          <x:t xml:space="preserve">Core external structural variable</x:t>
        </x:is>
      </x:c>
    </x:row>
    <x:row r="3">
      <x:c r="A3" s="2" t="inlineStr">
        <x:is>
          <x:t xml:space="preserve">PV</x:t>
        </x:is>
      </x:c>
      <x:c r="B3" s="2" t="inlineStr">
        <x:is>
          <x:t xml:space="preserve">Political environment</x:t>
        </x:is>
      </x:c>
      <x:c r="C3" s="2" t="inlineStr">
        <x:is>
          <x:t xml:space="preserve">Political Stability and Absence of Violence/Terrorism estimate</x:t>
        </x:is>
      </x:c>
      <x:c r="D3" s="2" t="inlineStr">
        <x:is>
          <x:t xml:space="preserve">approx. -2.5 to +2.5</x:t>
        </x:is>
      </x:c>
      <x:c r="E3" s="2" t="inlineStr">
        <x:is>
          <x:t xml:space="preserve">World Bank WGI</x:t>
        </x:is>
      </x:c>
      <x:c r="F3" s="2" t="inlineStr">
        <x:is>
          <x:t xml:space="preserve">sheet pv; estimate column</x:t>
        </x:is>
      </x:c>
      <x:c r="G3" s="2" t="inlineStr">
        <x:is>
          <x:t xml:space="preserve">2015–2017</x:t>
        </x:is>
      </x:c>
      <x:c r="H3" s="2" t="inlineStr">
        <x:is>
          <x:t xml:space="preserve">3-year mean only if all three years observed</x:t>
        </x:is>
      </x:c>
      <x:c r="I3" s="2" t="inlineStr">
        <x:is>
          <x:t xml:space="preserve">Core external structural variable</x:t>
        </x:is>
      </x:c>
    </x:row>
    <x:row r="4">
      <x:c r="A4" s="2" t="inlineStr">
        <x:is>
          <x:t xml:space="preserve">GDP</x:t>
        </x:is>
      </x:c>
      <x:c r="B4" s="2" t="inlineStr">
        <x:is>
          <x:t xml:space="preserve">Economic / market scale</x:t>
        </x:is>
      </x:c>
      <x:c r="C4" s="2" t="inlineStr">
        <x:is>
          <x:t xml:space="preserve">GDP (current US$)</x:t>
        </x:is>
      </x:c>
      <x:c r="D4" s="2" t="inlineStr">
        <x:is>
          <x:t xml:space="preserve">current US$</x:t>
        </x:is>
      </x:c>
      <x:c r="E4" s="2" t="inlineStr">
        <x:is>
          <x:t xml:space="preserve">World Bank WDI</x:t>
        </x:is>
      </x:c>
      <x:c r="F4" s="2" t="inlineStr">
        <x:is>
          <x:t xml:space="preserve">NY.GDP.MKTP.CD</x:t>
        </x:is>
      </x:c>
      <x:c r="G4" s="2" t="inlineStr">
        <x:is>
          <x:t xml:space="preserve">2015–2017</x:t>
        </x:is>
      </x:c>
      <x:c r="H4" s="2" t="inlineStr">
        <x:is>
          <x:t xml:space="preserve">3-year mean; log transformation deferred to next construction/statistics step</x:t>
        </x:is>
      </x:c>
      <x:c r="I4" s="2" t="inlineStr">
        <x:is>
          <x:t xml:space="preserve">Core external structural variable</x:t>
        </x:is>
      </x:c>
    </x:row>
    <x:row r="5">
      <x:c r="A5" s="2" t="inlineStr">
        <x:is>
          <x:t xml:space="preserve">GDPpc</x:t>
        </x:is>
      </x:c>
      <x:c r="B5" s="2" t="inlineStr">
        <x:is>
          <x:t xml:space="preserve">Economic development capacity</x:t>
        </x:is>
      </x:c>
      <x:c r="C5" s="2" t="inlineStr">
        <x:is>
          <x:t xml:space="preserve">GDP per capita (current US$)</x:t>
        </x:is>
      </x:c>
      <x:c r="D5" s="2" t="inlineStr">
        <x:is>
          <x:t xml:space="preserve">current US$ per person</x:t>
        </x:is>
      </x:c>
      <x:c r="E5" s="2" t="inlineStr">
        <x:is>
          <x:t xml:space="preserve">World Bank WDI</x:t>
        </x:is>
      </x:c>
      <x:c r="F5" s="2" t="inlineStr">
        <x:is>
          <x:t xml:space="preserve">NY.GDP.PCAP.CD</x:t>
        </x:is>
      </x:c>
      <x:c r="G5" s="2" t="inlineStr">
        <x:is>
          <x:t xml:space="preserve">2015–2017</x:t>
        </x:is>
      </x:c>
      <x:c r="H5" s="2" t="inlineStr">
        <x:is>
          <x:t xml:space="preserve">3-year mean only if all three years observed</x:t>
        </x:is>
      </x:c>
      <x:c r="I5" s="2" t="inlineStr">
        <x:is>
          <x:t xml:space="preserve">Core external structural variable</x:t>
        </x:is>
      </x:c>
    </x:row>
    <x:row r="6">
      <x:c r="A6" s="2" t="inlineStr">
        <x:is>
          <x:t xml:space="preserve">OilRent</x:t>
        </x:is>
      </x:c>
      <x:c r="B6" s="2" t="inlineStr">
        <x:is>
          <x:t xml:space="preserve">Fossil path dependence component</x:t>
        </x:is>
      </x:c>
      <x:c r="C6" s="2" t="inlineStr">
        <x:is>
          <x:t xml:space="preserve">Oil rents as share of GDP</x:t>
        </x:is>
      </x:c>
      <x:c r="D6" s="2" t="inlineStr">
        <x:is>
          <x:t xml:space="preserve">% of GDP</x:t>
        </x:is>
      </x:c>
      <x:c r="E6" s="2" t="inlineStr">
        <x:is>
          <x:t xml:space="preserve">World Bank WDI</x:t>
        </x:is>
      </x:c>
      <x:c r="F6" s="2" t="inlineStr">
        <x:is>
          <x:t xml:space="preserve">NY.GDP.PETR.RT.ZS</x:t>
        </x:is>
      </x:c>
      <x:c r="G6" s="2" t="inlineStr">
        <x:is>
          <x:t xml:space="preserve">2015–2017</x:t>
        </x:is>
      </x:c>
      <x:c r="H6" s="2" t="inlineStr">
        <x:is>
          <x:t xml:space="preserve">Explicit 0 kept as 0; blank retained as missing</x:t>
        </x:is>
      </x:c>
      <x:c r="I6" s="2" t="inlineStr">
        <x:is>
          <x:t xml:space="preserve">Component only</x:t>
        </x:is>
      </x:c>
    </x:row>
    <x:row r="7">
      <x:c r="A7" s="2" t="inlineStr">
        <x:is>
          <x:t xml:space="preserve">GasRent</x:t>
        </x:is>
      </x:c>
      <x:c r="B7" s="2" t="inlineStr">
        <x:is>
          <x:t xml:space="preserve">Fossil path dependence component</x:t>
        </x:is>
      </x:c>
      <x:c r="C7" s="2" t="inlineStr">
        <x:is>
          <x:t xml:space="preserve">Natural gas rents as share of GDP</x:t>
        </x:is>
      </x:c>
      <x:c r="D7" s="2" t="inlineStr">
        <x:is>
          <x:t xml:space="preserve">% of GDP</x:t>
        </x:is>
      </x:c>
      <x:c r="E7" s="2" t="inlineStr">
        <x:is>
          <x:t xml:space="preserve">World Bank WDI</x:t>
        </x:is>
      </x:c>
      <x:c r="F7" s="2" t="inlineStr">
        <x:is>
          <x:t xml:space="preserve">NY.GDP.NGAS.RT.ZS</x:t>
        </x:is>
      </x:c>
      <x:c r="G7" s="2" t="inlineStr">
        <x:is>
          <x:t xml:space="preserve">2015–2017</x:t>
        </x:is>
      </x:c>
      <x:c r="H7" s="2" t="inlineStr">
        <x:is>
          <x:t xml:space="preserve">Explicit 0 kept as 0; blank retained as missing</x:t>
        </x:is>
      </x:c>
      <x:c r="I7" s="2" t="inlineStr">
        <x:is>
          <x:t xml:space="preserve">Component only</x:t>
        </x:is>
      </x:c>
    </x:row>
    <x:row r="8">
      <x:c r="A8" s="2" t="inlineStr">
        <x:is>
          <x:t xml:space="preserve">CoalRent</x:t>
        </x:is>
      </x:c>
      <x:c r="B8" s="2" t="inlineStr">
        <x:is>
          <x:t xml:space="preserve">Fossil path dependence component</x:t>
        </x:is>
      </x:c>
      <x:c r="C8" s="2" t="inlineStr">
        <x:is>
          <x:t xml:space="preserve">Coal rents as share of GDP</x:t>
        </x:is>
      </x:c>
      <x:c r="D8" s="2" t="inlineStr">
        <x:is>
          <x:t xml:space="preserve">% of GDP</x:t>
        </x:is>
      </x:c>
      <x:c r="E8" s="2" t="inlineStr">
        <x:is>
          <x:t xml:space="preserve">World Bank WDI</x:t>
        </x:is>
      </x:c>
      <x:c r="F8" s="2" t="inlineStr">
        <x:is>
          <x:t xml:space="preserve">NY.GDP.COAL.RT.ZS</x:t>
        </x:is>
      </x:c>
      <x:c r="G8" s="2" t="inlineStr">
        <x:is>
          <x:t xml:space="preserve">2015–2017</x:t>
        </x:is>
      </x:c>
      <x:c r="H8" s="2" t="inlineStr">
        <x:is>
          <x:t xml:space="preserve">Explicit 0 kept as 0; blank retained as missing</x:t>
        </x:is>
      </x:c>
      <x:c r="I8" s="2" t="inlineStr">
        <x:is>
          <x:t xml:space="preserve">Component only</x:t>
        </x:is>
      </x:c>
    </x:row>
    <x:row r="9">
      <x:c r="A9" s="2" t="inlineStr">
        <x:is>
          <x:t xml:space="preserve">FossilRent</x:t>
        </x:is>
      </x:c>
      <x:c r="B9" s="2" t="inlineStr">
        <x:is>
          <x:t xml:space="preserve">Fossil path dependence</x:t>
        </x:is>
      </x:c>
      <x:c r="C9" s="2" t="inlineStr">
        <x:is>
          <x:t xml:space="preserve">OilRent + GasRent + CoalRent</x:t>
        </x:is>
      </x:c>
      <x:c r="D9" s="2" t="inlineStr">
        <x:is>
          <x:t xml:space="preserve">% of GDP</x:t>
        </x:is>
      </x:c>
      <x:c r="E9" s="2" t="inlineStr">
        <x:is>
          <x:t xml:space="preserve">Constructed from WDI components</x:t>
        </x:is>
      </x:c>
      <x:c r="F9" s="2" t="inlineStr">
        <x:is>
          <x:t xml:space="preserve">NY.GDP.PETR.RT.ZS + NY.GDP.NGAS.RT.ZS + NY.GDP.COAL.RT.ZS</x:t>
        </x:is>
      </x:c>
      <x:c r="G9" s="2" t="inlineStr">
        <x:is>
          <x:t xml:space="preserve">2015–2017</x:t>
        </x:is>
      </x:c>
      <x:c r="H9" s="2" t="inlineStr">
        <x:is>
          <x:t xml:space="preserve">Yearly sum only when all 3 components observed; 3-year mean only when all 3 yearly sums observed</x:t>
        </x:is>
      </x:c>
      <x:c r="I9" s="2" t="inlineStr">
        <x:is>
          <x:t xml:space="preserve">Core external structural variable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39bd96d33e74a2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8" customWidth="1"/>
    <x:col min="2" max="2" width="40" customWidth="1"/>
    <x:col min="3" max="3" width="19" customWidth="1"/>
    <x:col min="4" max="4" width="58" customWidth="1"/>
    <x:col min="5" max="5" width="40" customWidth="1"/>
    <x:col min="6" max="6" width="68" customWidth="1"/>
  </x:cols>
  <x:sheetData>
    <x:row r="1" ht="34" customHeight="1">
      <x:c r="A1" s="5" t="inlineStr">
        <x:is>
          <x:t xml:space="preserve">Input file</x:t>
        </x:is>
      </x:c>
      <x:c r="B1" s="5" t="inlineStr">
        <x:is>
          <x:t xml:space="preserve">Dataset / indicator</x:t>
        </x:is>
      </x:c>
      <x:c r="C1" s="5" t="inlineStr">
        <x:is>
          <x:t xml:space="preserve">Code / sheet</x:t>
        </x:is>
      </x:c>
      <x:c r="D1" s="5" t="inlineStr">
        <x:is>
          <x:t xml:space="preserve">Official URL</x:t>
        </x:is>
      </x:c>
      <x:c r="E1" s="5" t="inlineStr">
        <x:is>
          <x:t xml:space="preserve">Downloaded file note</x:t>
        </x:is>
      </x:c>
      <x:c r="F1" s="5" t="inlineStr">
        <x:is>
          <x:t xml:space="preserve">SHA256</x:t>
        </x:is>
      </x:c>
    </x:row>
    <x:row r="2">
      <x:c r="A2" s="2" t="inlineStr">
        <x:is>
          <x:t xml:space="preserve">wgidataset_with_sourcedata-2025.xlsx</x:t>
        </x:is>
      </x:c>
      <x:c r="B2" s="2" t="inlineStr">
        <x:is>
          <x:t xml:space="preserve">Worldwide Governance Indicators — Government Effectiveness</x:t>
        </x:is>
      </x:c>
      <x:c r="C2" s="2" t="inlineStr">
        <x:is>
          <x:t xml:space="preserve">ge</x:t>
        </x:is>
      </x:c>
      <x:c r="D2" s="2" t="inlineStr">
        <x:is>
          <x:t xml:space="preserve">https://www.worldbank.org/en/publication/worldwide-governance-indicators</x:t>
        </x:is>
      </x:c>
      <x:c r="E2" s="2" t="inlineStr">
        <x:is>
          <x:t xml:space="preserve">2025 revised historical WGI workbook</x:t>
        </x:is>
      </x:c>
      <x:c r="F2" s="2" t="inlineStr">
        <x:is>
          <x:t xml:space="preserve">25a2f9eabb90b0092973392c0b31571aa58b691cc5786292e504b52f693e1eb8</x:t>
        </x:is>
      </x:c>
    </x:row>
    <x:row r="3">
      <x:c r="A3" s="2" t="inlineStr">
        <x:is>
          <x:t xml:space="preserve">wgidataset_with_sourcedata-2025.xlsx</x:t>
        </x:is>
      </x:c>
      <x:c r="B3" s="2" t="inlineStr">
        <x:is>
          <x:t xml:space="preserve">Worldwide Governance Indicators — Political Stability</x:t>
        </x:is>
      </x:c>
      <x:c r="C3" s="2" t="inlineStr">
        <x:is>
          <x:t xml:space="preserve">pv</x:t>
        </x:is>
      </x:c>
      <x:c r="D3" s="2" t="inlineStr">
        <x:is>
          <x:t xml:space="preserve">https://www.worldbank.org/en/publication/worldwide-governance-indicators</x:t>
        </x:is>
      </x:c>
      <x:c r="E3" s="2" t="inlineStr">
        <x:is>
          <x:t xml:space="preserve">2025 revised historical WGI workbook</x:t>
        </x:is>
      </x:c>
      <x:c r="F3" s="2" t="inlineStr">
        <x:is>
          <x:t xml:space="preserve">25a2f9eabb90b0092973392c0b31571aa58b691cc5786292e504b52f693e1eb8</x:t>
        </x:is>
      </x:c>
    </x:row>
    <x:row r="4">
      <x:c r="A4" s="2" t="inlineStr">
        <x:is>
          <x:t xml:space="preserve">API_NY.GDP.MKTP.CD_DS2_en_excel_v2_314228.xlsx</x:t>
        </x:is>
      </x:c>
      <x:c r="B4" s="2" t="inlineStr">
        <x:is>
          <x:t xml:space="preserve">GDP (current US$)</x:t>
        </x:is>
      </x:c>
      <x:c r="C4" s="2" t="inlineStr">
        <x:is>
          <x:t xml:space="preserve">NY.GDP.MKTP.CD</x:t>
        </x:is>
      </x:c>
      <x:c r="D4" s="2" t="inlineStr">
        <x:is>
          <x:t xml:space="preserve">https://data.worldbank.org/indicator/NY.GDP.MKTP.CD</x:t>
        </x:is>
      </x:c>
      <x:c r="E4" s="2" t="inlineStr">
        <x:is>
          <x:t xml:space="preserve">WDI file; Last Updated Date = 2026-07-13</x:t>
        </x:is>
      </x:c>
      <x:c r="F4" s="2" t="inlineStr">
        <x:is>
          <x:t xml:space="preserve">38883abe109912db1f64c30239943f03a53dfd90887f65f9c9633a9bc6868683</x:t>
        </x:is>
      </x:c>
    </x:row>
    <x:row r="5">
      <x:c r="A5" s="2" t="inlineStr">
        <x:is>
          <x:t xml:space="preserve">API_NY.GDP.PCAP.CD_DS2_en_excel_v2_305580.xlsx</x:t>
        </x:is>
      </x:c>
      <x:c r="B5" s="2" t="inlineStr">
        <x:is>
          <x:t xml:space="preserve">GDP per capita (current US$)</x:t>
        </x:is>
      </x:c>
      <x:c r="C5" s="2" t="inlineStr">
        <x:is>
          <x:t xml:space="preserve">NY.GDP.PCAP.CD</x:t>
        </x:is>
      </x:c>
      <x:c r="D5" s="2" t="inlineStr">
        <x:is>
          <x:t xml:space="preserve">https://data.worldbank.org/indicator/NY.GDP.PCAP.CD</x:t>
        </x:is>
      </x:c>
      <x:c r="E5" s="2" t="inlineStr">
        <x:is>
          <x:t xml:space="preserve">WDI file; Last Updated Date = 2026-07-13</x:t>
        </x:is>
      </x:c>
      <x:c r="F5" s="2" t="inlineStr">
        <x:is>
          <x:t xml:space="preserve">38ff61365a11cfefd31645e5e0057ee99aa3dfa54b5bb3a8bb4642a7a1532e74</x:t>
        </x:is>
      </x:c>
    </x:row>
    <x:row r="6">
      <x:c r="A6" s="2" t="inlineStr">
        <x:is>
          <x:t xml:space="preserve">API_NY.GDP.PETR.RT.ZS_DS2_en_excel_v2_33066.xlsx</x:t>
        </x:is>
      </x:c>
      <x:c r="B6" s="2" t="inlineStr">
        <x:is>
          <x:t xml:space="preserve">Oil rents (% of GDP)</x:t>
        </x:is>
      </x:c>
      <x:c r="C6" s="2" t="inlineStr">
        <x:is>
          <x:t xml:space="preserve">NY.GDP.PETR.RT.ZS</x:t>
        </x:is>
      </x:c>
      <x:c r="D6" s="2" t="inlineStr">
        <x:is>
          <x:t xml:space="preserve">https://data.worldbank.org/indicator/NY.GDP.PETR.RT.ZS</x:t>
        </x:is>
      </x:c>
      <x:c r="E6" s="2" t="inlineStr">
        <x:is>
          <x:t xml:space="preserve">WDI file; Last Updated Date = 2026-07-13</x:t>
        </x:is>
      </x:c>
      <x:c r="F6" s="2" t="inlineStr">
        <x:is>
          <x:t xml:space="preserve">6ee42f7e274e8f54c1acb5d633c829152fbf0bafff49009f05a8e9de9af6740e</x:t>
        </x:is>
      </x:c>
    </x:row>
    <x:row r="7">
      <x:c r="A7" s="2" t="inlineStr">
        <x:is>
          <x:t xml:space="preserve">API_NY.GDP.NGAS.RT.ZS_DS2_en_excel_v2_33507.xlsx</x:t>
        </x:is>
      </x:c>
      <x:c r="B7" s="2" t="inlineStr">
        <x:is>
          <x:t xml:space="preserve">Natural gas rents (% of GDP)</x:t>
        </x:is>
      </x:c>
      <x:c r="C7" s="2" t="inlineStr">
        <x:is>
          <x:t xml:space="preserve">NY.GDP.NGAS.RT.ZS</x:t>
        </x:is>
      </x:c>
      <x:c r="D7" s="2" t="inlineStr">
        <x:is>
          <x:t xml:space="preserve">https://data.worldbank.org/indicator/NY.GDP.NGAS.RT.ZS</x:t>
        </x:is>
      </x:c>
      <x:c r="E7" s="2" t="inlineStr">
        <x:is>
          <x:t xml:space="preserve">WDI file; Last Updated Date = 2026-07-13</x:t>
        </x:is>
      </x:c>
      <x:c r="F7" s="2" t="inlineStr">
        <x:is>
          <x:t xml:space="preserve">be0221ab09118bd7ae61fd5b1246b543101acc9dba14fdb47a610078bcc1f2b2</x:t>
        </x:is>
      </x:c>
    </x:row>
    <x:row r="8">
      <x:c r="A8" s="2" t="inlineStr">
        <x:is>
          <x:t xml:space="preserve">API_NY.GDP.COAL.RT.ZS_DS2_en_excel_v2_35369.xlsx</x:t>
        </x:is>
      </x:c>
      <x:c r="B8" s="2" t="inlineStr">
        <x:is>
          <x:t xml:space="preserve">Coal rents (% of GDP)</x:t>
        </x:is>
      </x:c>
      <x:c r="C8" s="2" t="inlineStr">
        <x:is>
          <x:t xml:space="preserve">NY.GDP.COAL.RT.ZS</x:t>
        </x:is>
      </x:c>
      <x:c r="D8" s="2" t="inlineStr">
        <x:is>
          <x:t xml:space="preserve">https://data.worldbank.org/indicator/NY.GDP.COAL.RT.ZS</x:t>
        </x:is>
      </x:c>
      <x:c r="E8" s="2" t="inlineStr">
        <x:is>
          <x:t xml:space="preserve">WDI file; Last Updated Date = 2026-07-13</x:t>
        </x:is>
      </x:c>
      <x:c r="F8" s="2" t="inlineStr">
        <x:is>
          <x:t xml:space="preserve">2ba7be57438ad4fcb79df4a6a55eab7a767aa49b7604686a4ee63c52e6c3d3a4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c0ea2ed5c60464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78" hidden="0" customWidth="1"/>
  </x:cols>
  <x:sheetData>
    <x:row r="1">
      <x:c r="A1" s="30" t="str">
        <x:v>Step 4 completion decision</x:v>
      </x:c>
      <x:c r="B1" s="35" t="str">
        <x:v>A — analysis-ready N=54 after documented completion</x:v>
      </x:c>
    </x:row>
    <x:row r="2">
      <x:c r="A2" s="30" t="str">
        <x:v>Primary time window</x:v>
      </x:c>
      <x:c r="B2" s="35" t="str">
        <x:v>2015-2017, same window for all countries</x:v>
      </x:c>
    </x:row>
    <x:row r="3">
      <x:c r="A3" s="30" t="str">
        <x:v>Primary source rule</x:v>
      </x:c>
      <x:c r="B3" s="35" t="str">
        <x:v>World Bank/WGI retained where complete; UNSD SNAAMA used for GDP/GDPpc official-source gaps</x:v>
      </x:c>
    </x:row>
    <x:row r="4">
      <x:c r="A4" s="30" t="str">
        <x:v>GDP/GDPpc special case</x:v>
      </x:c>
      <x:c r="B4" s="35" t="str">
        <x:v>South Sudan 2015-2017 uses one complete UNSD series for internal time-window consistency; raw WDI 2015 is preserved in the audit sheet</x:v>
      </x:c>
    </x:row>
    <x:row r="5">
      <x:c r="A5" s="30" t="str">
        <x:v>Fossil-rent zero rule</x:v>
      </x:c>
      <x:c r="B5" s="35" t="str">
        <x:v>Blank rent values converted to 0 only when external energy-production evidence supports zero domestic extraction</x:v>
      </x:c>
    </x:row>
    <x:row r="6">
      <x:c r="A6" s="30" t="str">
        <x:v>South Sudan oil rent 2016</x:v>
      </x:c>
      <x:c r="B6" s="35" t="str">
        <x:v>31.3% of GDP from a World Bank published report</x:v>
      </x:c>
    </x:row>
    <x:row r="7">
      <x:c r="A7" s="30" t="str">
        <x:v>South Sudan oil rent 2017</x:v>
      </x:c>
      <x:c r="B7" s="35" t="str">
        <x:v>31.3% one-year nearest proxy from 2016; explicitly flagged</x:v>
      </x:c>
    </x:row>
    <x:row r="8">
      <x:c r="A8" s="30" t="str">
        <x:v>Raw missing cells completed</x:v>
      </x:c>
      <x:c r="B8" s="35" t="n">
        <x:v>28</x:v>
      </x:c>
    </x:row>
    <x:row r="9">
      <x:c r="A9" s="30" t="str">
        <x:v>Additional source-harmonization replacements</x:v>
      </x:c>
      <x:c r="B9" s="35" t="n">
        <x:v>2</x:v>
      </x:c>
    </x:row>
    <x:row r="10">
      <x:c r="A10" s="30" t="str">
        <x:v>Evidence-validated structural-zero cells</x:v>
      </x:c>
      <x:c r="B10" s="35" t="n">
        <x:v>16</x:v>
      </x:c>
    </x:row>
    <x:row r="11">
      <x:c r="A11" s="30" t="str">
        <x:v>Direct official/authoritative numeric completions</x:v>
      </x:c>
      <x:c r="B11" s="35" t="n">
        <x:v>11</x:v>
      </x:c>
    </x:row>
    <x:row r="12">
      <x:c r="A12" s="30" t="str">
        <x:v>Nearest-year numeric proxy cells</x:v>
      </x:c>
      <x:c r="B12" s="35" t="n">
        <x:v>1</x:v>
      </x:c>
    </x:row>
    <x:row r="13">
      <x:c r="A13" s="30" t="str">
        <x:v>Final GE coverage</x:v>
      </x:c>
      <x:c r="B13" s="35" t="str">
        <x:v>54/54</x:v>
      </x:c>
    </x:row>
    <x:row r="14">
      <x:c r="A14" s="30" t="str">
        <x:v>Final Political Stability coverage</x:v>
      </x:c>
      <x:c r="B14" s="35" t="str">
        <x:v>54/54</x:v>
      </x:c>
    </x:row>
    <x:row r="15">
      <x:c r="A15" s="30" t="str">
        <x:v>Final GDP coverage</x:v>
      </x:c>
      <x:c r="B15" s="35" t="str">
        <x:v>54/54</x:v>
      </x:c>
    </x:row>
    <x:row r="16">
      <x:c r="A16" s="30" t="str">
        <x:v>Final GDP per capita coverage</x:v>
      </x:c>
      <x:c r="B16" s="35" t="str">
        <x:v>54/54</x:v>
      </x:c>
    </x:row>
    <x:row r="17">
      <x:c r="A17" s="30" t="str">
        <x:v>Final FossilRent coverage</x:v>
      </x:c>
      <x:c r="B17" s="35" t="str">
        <x:v>54/54</x:v>
      </x:c>
    </x:row>
    <x:row r="18">
      <x:c r="A18" s="30" t="str">
        <x:v>Step 4 status</x:v>
      </x:c>
      <x:c r="B18" s="35" t="str">
        <x:v>Complete; proceed to Step 5 construction and Step 6 statistical testing when instructed</x:v>
      </x:c>
    </x:row>
    <x:row r="19">
      <x:c r="A19" s="30" t="str">
        <x:v>Methodological caution</x:v>
      </x:c>
      <x:c r="B19" s="35" t="str">
        <x:v>South Sudan OilRent_2017 is the only numerical proxy. Keep a later fossil-rent sensitivity check available as a compact robustness test.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" hidden="0" customWidth="1"/>
    <x:col min="3" max="3" width="16" hidden="0" customWidth="1"/>
    <x:col min="4" max="4" width="8" hidden="0" customWidth="1"/>
    <x:col min="5" max="5" width="18" hidden="0" customWidth="1"/>
    <x:col min="6" max="6" width="18" hidden="0" customWidth="1"/>
    <x:col min="7" max="7" width="30" hidden="0" customWidth="1"/>
    <x:col min="8" max="8" width="34" hidden="0" customWidth="1"/>
    <x:col min="9" max="9" width="42" hidden="0" customWidth="1"/>
    <x:col min="10" max="10" width="22" hidden="0" customWidth="1"/>
    <x:col min="11" max="11" width="58" hidden="0" customWidth="1"/>
  </x:cols>
  <x:sheetData>
    <x:row r="1">
      <x:c r="A1" s="41" t="str">
        <x:v>Country</x:v>
      </x:c>
      <x:c r="B1" s="41" t="str">
        <x:v>ISO3</x:v>
      </x:c>
      <x:c r="C1" s="41" t="str">
        <x:v>Variable</x:v>
      </x:c>
      <x:c r="D1" s="41" t="str">
        <x:v>Year</x:v>
      </x:c>
      <x:c r="E1" s="41" t="str">
        <x:v>Raw audit value</x:v>
      </x:c>
      <x:c r="F1" s="41" t="str">
        <x:v>Completed value</x:v>
      </x:c>
      <x:c r="G1" s="41" t="str">
        <x:v>Method</x:v>
      </x:c>
      <x:c r="H1" s="41" t="str">
        <x:v>Source</x:v>
      </x:c>
      <x:c r="I1" s="41" t="str">
        <x:v>Source URL</x:v>
      </x:c>
      <x:c r="J1" s="41" t="str">
        <x:v>Evidence grade</x:v>
      </x:c>
      <x:c r="K1" s="41" t="str">
        <x:v>Decision note</x:v>
      </x:c>
    </x:row>
    <x:row r="2">
      <x:c r="A2" s="35" t="str">
        <x:v>Eritrea</x:v>
      </x:c>
      <x:c r="B2" s="35" t="str">
        <x:v>ERI</x:v>
      </x:c>
      <x:c r="C2" s="35" t="str">
        <x:v>GDP</x:v>
      </x:c>
      <x:c r="D2" s="47" t="n">
        <x:v>2015</x:v>
      </x:c>
      <x:c r="E2" s="51"/>
      <x:c r="F2" s="51" t="n">
        <x:v>2013000000</x:v>
      </x:c>
      <x:c r="G2" s="35" t="str">
        <x:v>Official-source completion (UNSD SNAAMA)</x:v>
      </x:c>
      <x:c r="H2" s="35" t="str">
        <x:v>UN Statistics Division, National Accounts Main Aggregates</x:v>
      </x:c>
      <x:c r="I2" s="35" t="str">
        <x:v>https://unstats.un.org/unsd/snaama/CountryProfile?ccode=232</x:v>
      </x:c>
      <x:c r="J2" s="35" t="str">
        <x:v>A — official international statistical source</x:v>
      </x:c>
      <x:c r="K2" s="35" t="str">
        <x:v>Current UNSD National Accounts Main Aggregates value for the same year and concept.</x:v>
      </x:c>
    </x:row>
    <x:row r="3">
      <x:c r="A3" s="35" t="str">
        <x:v>Eritrea</x:v>
      </x:c>
      <x:c r="B3" s="35" t="str">
        <x:v>ERI</x:v>
      </x:c>
      <x:c r="C3" s="35" t="str">
        <x:v>GDP</x:v>
      </x:c>
      <x:c r="D3" s="47" t="n">
        <x:v>2016</x:v>
      </x:c>
      <x:c r="E3" s="51"/>
      <x:c r="F3" s="51" t="n">
        <x:v>2174000000</x:v>
      </x:c>
      <x:c r="G3" s="35" t="str">
        <x:v>Official-source completion (UNSD SNAAMA)</x:v>
      </x:c>
      <x:c r="H3" s="35" t="str">
        <x:v>UN Statistics Division, National Accounts Main Aggregates</x:v>
      </x:c>
      <x:c r="I3" s="35" t="str">
        <x:v>https://unstats.un.org/unsd/snaama/CountryProfile?ccode=232</x:v>
      </x:c>
      <x:c r="J3" s="35" t="str">
        <x:v>A — official international statistical source</x:v>
      </x:c>
      <x:c r="K3" s="35" t="str">
        <x:v>Current UNSD National Accounts Main Aggregates value for the same year and concept.</x:v>
      </x:c>
    </x:row>
    <x:row r="4">
      <x:c r="A4" s="35" t="str">
        <x:v>Eritrea</x:v>
      </x:c>
      <x:c r="B4" s="35" t="str">
        <x:v>ERI</x:v>
      </x:c>
      <x:c r="C4" s="35" t="str">
        <x:v>GDP</x:v>
      </x:c>
      <x:c r="D4" s="47" t="n">
        <x:v>2017</x:v>
      </x:c>
      <x:c r="E4" s="51"/>
      <x:c r="F4" s="51" t="n">
        <x:v>1904000000</x:v>
      </x:c>
      <x:c r="G4" s="35" t="str">
        <x:v>Official-source completion (UNSD SNAAMA)</x:v>
      </x:c>
      <x:c r="H4" s="35" t="str">
        <x:v>UN Statistics Division, National Accounts Main Aggregates</x:v>
      </x:c>
      <x:c r="I4" s="35" t="str">
        <x:v>https://unstats.un.org/unsd/snaama/CountryProfile?ccode=232</x:v>
      </x:c>
      <x:c r="J4" s="35" t="str">
        <x:v>A — official international statistical source</x:v>
      </x:c>
      <x:c r="K4" s="35" t="str">
        <x:v>Current UNSD National Accounts Main Aggregates value for the same year and concept.</x:v>
      </x:c>
    </x:row>
    <x:row r="5">
      <x:c r="A5" s="35" t="str">
        <x:v>Eritrea</x:v>
      </x:c>
      <x:c r="B5" s="35" t="str">
        <x:v>ERI</x:v>
      </x:c>
      <x:c r="C5" s="35" t="str">
        <x:v>GDPpc</x:v>
      </x:c>
      <x:c r="D5" s="47" t="n">
        <x:v>2015</x:v>
      </x:c>
      <x:c r="E5" s="51"/>
      <x:c r="F5" s="51" t="n">
        <x:v>648</x:v>
      </x:c>
      <x:c r="G5" s="35" t="str">
        <x:v>Official-source completion (UNSD SNAAMA)</x:v>
      </x:c>
      <x:c r="H5" s="35" t="str">
        <x:v>UN Statistics Division, National Accounts Main Aggregates</x:v>
      </x:c>
      <x:c r="I5" s="35" t="str">
        <x:v>https://unstats.un.org/unsd/snaama/CountryProfile?ccode=232</x:v>
      </x:c>
      <x:c r="J5" s="35" t="str">
        <x:v>A — official international statistical source</x:v>
      </x:c>
      <x:c r="K5" s="35" t="str">
        <x:v>Current UNSD National Accounts Main Aggregates value for the same year and concept.</x:v>
      </x:c>
    </x:row>
    <x:row r="6">
      <x:c r="A6" s="35" t="str">
        <x:v>Eritrea</x:v>
      </x:c>
      <x:c r="B6" s="35" t="str">
        <x:v>ERI</x:v>
      </x:c>
      <x:c r="C6" s="35" t="str">
        <x:v>GDPpc</x:v>
      </x:c>
      <x:c r="D6" s="47" t="n">
        <x:v>2016</x:v>
      </x:c>
      <x:c r="E6" s="51"/>
      <x:c r="F6" s="51" t="n">
        <x:v>696</x:v>
      </x:c>
      <x:c r="G6" s="35" t="str">
        <x:v>Official-source completion (UNSD SNAAMA)</x:v>
      </x:c>
      <x:c r="H6" s="35" t="str">
        <x:v>UN Statistics Division, National Accounts Main Aggregates</x:v>
      </x:c>
      <x:c r="I6" s="35" t="str">
        <x:v>https://unstats.un.org/unsd/snaama/CountryProfile?ccode=232</x:v>
      </x:c>
      <x:c r="J6" s="35" t="str">
        <x:v>A — official international statistical source</x:v>
      </x:c>
      <x:c r="K6" s="35" t="str">
        <x:v>Current UNSD National Accounts Main Aggregates value for the same year and concept.</x:v>
      </x:c>
    </x:row>
    <x:row r="7">
      <x:c r="A7" s="35" t="str">
        <x:v>Eritrea</x:v>
      </x:c>
      <x:c r="B7" s="35" t="str">
        <x:v>ERI</x:v>
      </x:c>
      <x:c r="C7" s="35" t="str">
        <x:v>GDPpc</x:v>
      </x:c>
      <x:c r="D7" s="47" t="n">
        <x:v>2017</x:v>
      </x:c>
      <x:c r="E7" s="51"/>
      <x:c r="F7" s="51" t="n">
        <x:v>604</x:v>
      </x:c>
      <x:c r="G7" s="35" t="str">
        <x:v>Official-source completion (UNSD SNAAMA)</x:v>
      </x:c>
      <x:c r="H7" s="35" t="str">
        <x:v>UN Statistics Division, National Accounts Main Aggregates</x:v>
      </x:c>
      <x:c r="I7" s="35" t="str">
        <x:v>https://unstats.un.org/unsd/snaama/CountryProfile?ccode=232</x:v>
      </x:c>
      <x:c r="J7" s="35" t="str">
        <x:v>A — official international statistical source</x:v>
      </x:c>
      <x:c r="K7" s="35" t="str">
        <x:v>Current UNSD National Accounts Main Aggregates value for the same year and concept.</x:v>
      </x:c>
    </x:row>
    <x:row r="8">
      <x:c r="A8" s="35" t="str">
        <x:v>Eritrea</x:v>
      </x:c>
      <x:c r="B8" s="35" t="str">
        <x:v>ERI</x:v>
      </x:c>
      <x:c r="C8" s="35" t="str">
        <x:v>OilRent</x:v>
      </x:c>
      <x:c r="D8" s="47" t="n">
        <x:v>2015</x:v>
      </x:c>
      <x:c r="E8" s="51"/>
      <x:c r="F8" s="51" t="n">
        <x:v>0</x:v>
      </x:c>
      <x:c r="G8" s="35" t="str">
        <x:v>Evidence-validated structural zero</x:v>
      </x:c>
      <x:c r="H8" s="35" t="str">
        <x:v>U.S. EIA International Energy Statistics</x:v>
      </x:c>
      <x:c r="I8" s="35" t="str">
        <x:v>https://www.eia.gov/international/overview/country/ERI</x:v>
      </x:c>
      <x:c r="J8" s="35" t="str">
        <x:v>A-/B+ — zero is mechanically implied by verified absence of extraction</x:v>
      </x:c>
      <x:c r="K8" s="35" t="str">
        <x:v>External energy-production evidence supports zero domestic fossil extraction for the relevant resource; rent is recorded as structural zero.</x:v>
      </x:c>
    </x:row>
    <x:row r="9">
      <x:c r="A9" s="35" t="str">
        <x:v>Eritrea</x:v>
      </x:c>
      <x:c r="B9" s="35" t="str">
        <x:v>ERI</x:v>
      </x:c>
      <x:c r="C9" s="35" t="str">
        <x:v>OilRent</x:v>
      </x:c>
      <x:c r="D9" s="47" t="n">
        <x:v>2016</x:v>
      </x:c>
      <x:c r="E9" s="51"/>
      <x:c r="F9" s="51" t="n">
        <x:v>0</x:v>
      </x:c>
      <x:c r="G9" s="35" t="str">
        <x:v>Evidence-validated structural zero</x:v>
      </x:c>
      <x:c r="H9" s="35" t="str">
        <x:v>U.S. EIA International Energy Statistics</x:v>
      </x:c>
      <x:c r="I9" s="35" t="str">
        <x:v>https://www.eia.gov/international/overview/country/ERI</x:v>
      </x:c>
      <x:c r="J9" s="35" t="str">
        <x:v>A-/B+ — zero is mechanically implied by verified absence of extraction</x:v>
      </x:c>
      <x:c r="K9" s="35" t="str">
        <x:v>External energy-production evidence supports zero domestic fossil extraction for the relevant resource; rent is recorded as structural zero.</x:v>
      </x:c>
    </x:row>
    <x:row r="10">
      <x:c r="A10" s="35" t="str">
        <x:v>Eritrea</x:v>
      </x:c>
      <x:c r="B10" s="35" t="str">
        <x:v>ERI</x:v>
      </x:c>
      <x:c r="C10" s="35" t="str">
        <x:v>OilRent</x:v>
      </x:c>
      <x:c r="D10" s="47" t="n">
        <x:v>2017</x:v>
      </x:c>
      <x:c r="E10" s="51"/>
      <x:c r="F10" s="51" t="n">
        <x:v>0</x:v>
      </x:c>
      <x:c r="G10" s="35" t="str">
        <x:v>Evidence-validated structural zero</x:v>
      </x:c>
      <x:c r="H10" s="35" t="str">
        <x:v>U.S. EIA International Energy Statistics</x:v>
      </x:c>
      <x:c r="I10" s="35" t="str">
        <x:v>https://www.eia.gov/international/overview/country/ERI</x:v>
      </x:c>
      <x:c r="J10" s="35" t="str">
        <x:v>A-/B+ — zero is mechanically implied by verified absence of extraction</x:v>
      </x:c>
      <x:c r="K10" s="35" t="str">
        <x:v>External energy-production evidence supports zero domestic fossil extraction for the relevant resource; rent is recorded as structural zero.</x:v>
      </x:c>
    </x:row>
    <x:row r="11">
      <x:c r="A11" s="35" t="str">
        <x:v>Eritrea</x:v>
      </x:c>
      <x:c r="B11" s="35" t="str">
        <x:v>ERI</x:v>
      </x:c>
      <x:c r="C11" s="35" t="str">
        <x:v>GasRent</x:v>
      </x:c>
      <x:c r="D11" s="47" t="n">
        <x:v>2015</x:v>
      </x:c>
      <x:c r="E11" s="51"/>
      <x:c r="F11" s="51" t="n">
        <x:v>0</x:v>
      </x:c>
      <x:c r="G11" s="35" t="str">
        <x:v>Evidence-validated structural zero</x:v>
      </x:c>
      <x:c r="H11" s="35" t="str">
        <x:v>U.S. EIA International Energy Statistics</x:v>
      </x:c>
      <x:c r="I11" s="35" t="str">
        <x:v>https://www.eia.gov/international/overview/country/ERI</x:v>
      </x:c>
      <x:c r="J11" s="35" t="str">
        <x:v>A-/B+ — zero is mechanically implied by verified absence of extraction</x:v>
      </x:c>
      <x:c r="K11" s="35" t="str">
        <x:v>External energy-production evidence supports zero domestic fossil extraction for the relevant resource; rent is recorded as structural zero.</x:v>
      </x:c>
    </x:row>
    <x:row r="12">
      <x:c r="A12" s="35" t="str">
        <x:v>Eritrea</x:v>
      </x:c>
      <x:c r="B12" s="35" t="str">
        <x:v>ERI</x:v>
      </x:c>
      <x:c r="C12" s="35" t="str">
        <x:v>GasRent</x:v>
      </x:c>
      <x:c r="D12" s="47" t="n">
        <x:v>2016</x:v>
      </x:c>
      <x:c r="E12" s="51"/>
      <x:c r="F12" s="51" t="n">
        <x:v>0</x:v>
      </x:c>
      <x:c r="G12" s="35" t="str">
        <x:v>Evidence-validated structural zero</x:v>
      </x:c>
      <x:c r="H12" s="35" t="str">
        <x:v>U.S. EIA International Energy Statistics</x:v>
      </x:c>
      <x:c r="I12" s="35" t="str">
        <x:v>https://www.eia.gov/international/overview/country/ERI</x:v>
      </x:c>
      <x:c r="J12" s="35" t="str">
        <x:v>A-/B+ — zero is mechanically implied by verified absence of extraction</x:v>
      </x:c>
      <x:c r="K12" s="35" t="str">
        <x:v>External energy-production evidence supports zero domestic fossil extraction for the relevant resource; rent is recorded as structural zero.</x:v>
      </x:c>
    </x:row>
    <x:row r="13">
      <x:c r="A13" s="35" t="str">
        <x:v>Eritrea</x:v>
      </x:c>
      <x:c r="B13" s="35" t="str">
        <x:v>ERI</x:v>
      </x:c>
      <x:c r="C13" s="35" t="str">
        <x:v>GasRent</x:v>
      </x:c>
      <x:c r="D13" s="47" t="n">
        <x:v>2017</x:v>
      </x:c>
      <x:c r="E13" s="51"/>
      <x:c r="F13" s="51" t="n">
        <x:v>0</x:v>
      </x:c>
      <x:c r="G13" s="35" t="str">
        <x:v>Evidence-validated structural zero</x:v>
      </x:c>
      <x:c r="H13" s="35" t="str">
        <x:v>U.S. EIA International Energy Statistics</x:v>
      </x:c>
      <x:c r="I13" s="35" t="str">
        <x:v>https://www.eia.gov/international/overview/country/ERI</x:v>
      </x:c>
      <x:c r="J13" s="35" t="str">
        <x:v>A-/B+ — zero is mechanically implied by verified absence of extraction</x:v>
      </x:c>
      <x:c r="K13" s="35" t="str">
        <x:v>External energy-production evidence supports zero domestic fossil extraction for the relevant resource; rent is recorded as structural zero.</x:v>
      </x:c>
    </x:row>
    <x:row r="14">
      <x:c r="A14" s="35" t="str">
        <x:v>Eritrea</x:v>
      </x:c>
      <x:c r="B14" s="35" t="str">
        <x:v>ERI</x:v>
      </x:c>
      <x:c r="C14" s="35" t="str">
        <x:v>CoalRent</x:v>
      </x:c>
      <x:c r="D14" s="47" t="n">
        <x:v>2015</x:v>
      </x:c>
      <x:c r="E14" s="51"/>
      <x:c r="F14" s="51" t="n">
        <x:v>0</x:v>
      </x:c>
      <x:c r="G14" s="35" t="str">
        <x:v>Evidence-validated structural zero</x:v>
      </x:c>
      <x:c r="H14" s="35" t="str">
        <x:v>U.S. EIA International Energy Statistics</x:v>
      </x:c>
      <x:c r="I14" s="35" t="str">
        <x:v>https://www.eia.gov/international/overview/country/ERI</x:v>
      </x:c>
      <x:c r="J14" s="35" t="str">
        <x:v>A-/B+ — zero is mechanically implied by verified absence of extraction</x:v>
      </x:c>
      <x:c r="K14" s="35" t="str">
        <x:v>External energy-production evidence supports zero domestic fossil extraction for the relevant resource; rent is recorded as structural zero.</x:v>
      </x:c>
    </x:row>
    <x:row r="15">
      <x:c r="A15" s="35" t="str">
        <x:v>Eritrea</x:v>
      </x:c>
      <x:c r="B15" s="35" t="str">
        <x:v>ERI</x:v>
      </x:c>
      <x:c r="C15" s="35" t="str">
        <x:v>CoalRent</x:v>
      </x:c>
      <x:c r="D15" s="47" t="n">
        <x:v>2016</x:v>
      </x:c>
      <x:c r="E15" s="51"/>
      <x:c r="F15" s="51" t="n">
        <x:v>0</x:v>
      </x:c>
      <x:c r="G15" s="35" t="str">
        <x:v>Evidence-validated structural zero</x:v>
      </x:c>
      <x:c r="H15" s="35" t="str">
        <x:v>U.S. EIA International Energy Statistics</x:v>
      </x:c>
      <x:c r="I15" s="35" t="str">
        <x:v>https://www.eia.gov/international/overview/country/ERI</x:v>
      </x:c>
      <x:c r="J15" s="35" t="str">
        <x:v>A-/B+ — zero is mechanically implied by verified absence of extraction</x:v>
      </x:c>
      <x:c r="K15" s="35" t="str">
        <x:v>External energy-production evidence supports zero domestic fossil extraction for the relevant resource; rent is recorded as structural zero.</x:v>
      </x:c>
    </x:row>
    <x:row r="16">
      <x:c r="A16" s="35" t="str">
        <x:v>Eritrea</x:v>
      </x:c>
      <x:c r="B16" s="35" t="str">
        <x:v>ERI</x:v>
      </x:c>
      <x:c r="C16" s="35" t="str">
        <x:v>CoalRent</x:v>
      </x:c>
      <x:c r="D16" s="47" t="n">
        <x:v>2017</x:v>
      </x:c>
      <x:c r="E16" s="51"/>
      <x:c r="F16" s="51" t="n">
        <x:v>0</x:v>
      </x:c>
      <x:c r="G16" s="35" t="str">
        <x:v>Evidence-validated structural zero</x:v>
      </x:c>
      <x:c r="H16" s="35" t="str">
        <x:v>U.S. EIA International Energy Statistics</x:v>
      </x:c>
      <x:c r="I16" s="35" t="str">
        <x:v>https://www.eia.gov/international/overview/country/ERI</x:v>
      </x:c>
      <x:c r="J16" s="35" t="str">
        <x:v>A-/B+ — zero is mechanically implied by verified absence of extraction</x:v>
      </x:c>
      <x:c r="K16" s="35" t="str">
        <x:v>External energy-production evidence supports zero domestic fossil extraction for the relevant resource; rent is recorded as structural zero.</x:v>
      </x:c>
    </x:row>
    <x:row r="17">
      <x:c r="A17" s="35" t="str">
        <x:v>Sierra Leone</x:v>
      </x:c>
      <x:c r="B17" s="35" t="str">
        <x:v>SLE</x:v>
      </x:c>
      <x:c r="C17" s="35" t="str">
        <x:v>GasRent</x:v>
      </x:c>
      <x:c r="D17" s="47" t="n">
        <x:v>2015</x:v>
      </x:c>
      <x:c r="E17" s="51"/>
      <x:c r="F17" s="51" t="n">
        <x:v>0</x:v>
      </x:c>
      <x:c r="G17" s="35" t="str">
        <x:v>Evidence-validated structural zero</x:v>
      </x:c>
      <x:c r="H17" s="35" t="str">
        <x:v>U.S. EIA / U.S. Geological Survey</x:v>
      </x:c>
      <x:c r="I17" s="35" t="str">
        <x:v>https://www.eia.gov/international/overview/country/SLE</x:v>
      </x:c>
      <x:c r="J17" s="35" t="str">
        <x:v>A-/B+ — zero is mechanically implied by verified absence of extraction</x:v>
      </x:c>
      <x:c r="K17" s="35" t="str">
        <x:v>Energy/minerals evidence supports no domestic natural-gas production; gas rent is recorded as structural zero.</x:v>
      </x:c>
    </x:row>
    <x:row r="18">
      <x:c r="A18" s="35" t="str">
        <x:v>Sierra Leone</x:v>
      </x:c>
      <x:c r="B18" s="35" t="str">
        <x:v>SLE</x:v>
      </x:c>
      <x:c r="C18" s="35" t="str">
        <x:v>GasRent</x:v>
      </x:c>
      <x:c r="D18" s="47" t="n">
        <x:v>2016</x:v>
      </x:c>
      <x:c r="E18" s="51"/>
      <x:c r="F18" s="51" t="n">
        <x:v>0</x:v>
      </x:c>
      <x:c r="G18" s="35" t="str">
        <x:v>Evidence-validated structural zero</x:v>
      </x:c>
      <x:c r="H18" s="35" t="str">
        <x:v>U.S. EIA / U.S. Geological Survey</x:v>
      </x:c>
      <x:c r="I18" s="35" t="str">
        <x:v>https://www.eia.gov/international/overview/country/SLE</x:v>
      </x:c>
      <x:c r="J18" s="35" t="str">
        <x:v>A-/B+ — zero is mechanically implied by verified absence of extraction</x:v>
      </x:c>
      <x:c r="K18" s="35" t="str">
        <x:v>Energy/minerals evidence supports no domestic natural-gas production; gas rent is recorded as structural zero.</x:v>
      </x:c>
    </x:row>
    <x:row r="19">
      <x:c r="A19" s="35" t="str">
        <x:v>Sierra Leone</x:v>
      </x:c>
      <x:c r="B19" s="35" t="str">
        <x:v>SLE</x:v>
      </x:c>
      <x:c r="C19" s="35" t="str">
        <x:v>GasRent</x:v>
      </x:c>
      <x:c r="D19" s="47" t="n">
        <x:v>2017</x:v>
      </x:c>
      <x:c r="E19" s="51"/>
      <x:c r="F19" s="51" t="n">
        <x:v>0</x:v>
      </x:c>
      <x:c r="G19" s="35" t="str">
        <x:v>Evidence-validated structural zero</x:v>
      </x:c>
      <x:c r="H19" s="35" t="str">
        <x:v>U.S. EIA / U.S. Geological Survey</x:v>
      </x:c>
      <x:c r="I19" s="35" t="str">
        <x:v>https://www.eia.gov/international/overview/country/SLE</x:v>
      </x:c>
      <x:c r="J19" s="35" t="str">
        <x:v>A-/B+ — zero is mechanically implied by verified absence of extraction</x:v>
      </x:c>
      <x:c r="K19" s="35" t="str">
        <x:v>Energy/minerals evidence supports no domestic natural-gas production; gas rent is recorded as structural zero.</x:v>
      </x:c>
    </x:row>
    <x:row r="20">
      <x:c r="A20" s="35" t="str">
        <x:v>South Sudan</x:v>
      </x:c>
      <x:c r="B20" s="35" t="str">
        <x:v>SSD</x:v>
      </x:c>
      <x:c r="C20" s="35" t="str">
        <x:v>GDP</x:v>
      </x:c>
      <x:c r="D20" s="47" t="n">
        <x:v>2015</x:v>
      </x:c>
      <x:c r="E20" s="51" t="n">
        <x:v>11997800760.22418</x:v>
      </x:c>
      <x:c r="F20" s="51" t="n">
        <x:v>7069000000</x:v>
      </x:c>
      <x:c r="G20" s="35" t="str">
        <x:v>Full-window source harmonization (UNSD SNAAMA)</x:v>
      </x:c>
      <x:c r="H20" s="35" t="str">
        <x:v>UN Statistics Division, National Accounts Main Aggregates</x:v>
      </x:c>
      <x:c r="I20" s="35" t="str">
        <x:v>https://unstats.un.org/unsd/snaama/CountryProfile?ccode=728</x:v>
      </x:c>
      <x:c r="J20" s="35" t="str">
        <x:v>A — official international statistical source</x:v>
      </x:c>
      <x:c r="K20" s="35" t="str">
        <x:v>World Bank value was available for 2015, but the 2016-2017 WDI series is missing. The complete 2015-2017 South Sudan GDP/GDPpc window is therefore taken from one internally consistent UNSD National Accounts series; original WDI value remains in the raw audit sheet.</x:v>
      </x:c>
    </x:row>
    <x:row r="21">
      <x:c r="A21" s="35" t="str">
        <x:v>South Sudan</x:v>
      </x:c>
      <x:c r="B21" s="35" t="str">
        <x:v>SSD</x:v>
      </x:c>
      <x:c r="C21" s="35" t="str">
        <x:v>GDP</x:v>
      </x:c>
      <x:c r="D21" s="47" t="n">
        <x:v>2016</x:v>
      </x:c>
      <x:c r="E21" s="51"/>
      <x:c r="F21" s="51" t="n">
        <x:v>3276000000</x:v>
      </x:c>
      <x:c r="G21" s="35" t="str">
        <x:v>Official-source completion (UNSD SNAAMA)</x:v>
      </x:c>
      <x:c r="H21" s="35" t="str">
        <x:v>UN Statistics Division, National Accounts Main Aggregates</x:v>
      </x:c>
      <x:c r="I21" s="35" t="str">
        <x:v>https://unstats.un.org/unsd/snaama/CountryProfile?ccode=728</x:v>
      </x:c>
      <x:c r="J21" s="35" t="str">
        <x:v>A — official international statistical source</x:v>
      </x:c>
      <x:c r="K21" s="35" t="str">
        <x:v>Current UNSD National Accounts Main Aggregates value for the same year and concept.</x:v>
      </x:c>
    </x:row>
    <x:row r="22">
      <x:c r="A22" s="35" t="str">
        <x:v>South Sudan</x:v>
      </x:c>
      <x:c r="B22" s="35" t="str">
        <x:v>SSD</x:v>
      </x:c>
      <x:c r="C22" s="35" t="str">
        <x:v>GDP</x:v>
      </x:c>
      <x:c r="D22" s="47" t="n">
        <x:v>2017</x:v>
      </x:c>
      <x:c r="E22" s="51"/>
      <x:c r="F22" s="51" t="n">
        <x:v>3571000000</x:v>
      </x:c>
      <x:c r="G22" s="35" t="str">
        <x:v>Official-source completion (UNSD SNAAMA)</x:v>
      </x:c>
      <x:c r="H22" s="35" t="str">
        <x:v>UN Statistics Division, National Accounts Main Aggregates</x:v>
      </x:c>
      <x:c r="I22" s="35" t="str">
        <x:v>https://unstats.un.org/unsd/snaama/CountryProfile?ccode=728</x:v>
      </x:c>
      <x:c r="J22" s="35" t="str">
        <x:v>A — official international statistical source</x:v>
      </x:c>
      <x:c r="K22" s="35" t="str">
        <x:v>Current UNSD National Accounts Main Aggregates value for the same year and concept.</x:v>
      </x:c>
    </x:row>
    <x:row r="23">
      <x:c r="A23" s="35" t="str">
        <x:v>South Sudan</x:v>
      </x:c>
      <x:c r="B23" s="35" t="str">
        <x:v>SSD</x:v>
      </x:c>
      <x:c r="C23" s="35" t="str">
        <x:v>GDPpc</x:v>
      </x:c>
      <x:c r="D23" s="47" t="n">
        <x:v>2015</x:v>
      </x:c>
      <x:c r="E23" s="51" t="n">
        <x:v>1080.147186247654</x:v>
      </x:c>
      <x:c r="F23" s="51" t="n">
        <x:v>636</x:v>
      </x:c>
      <x:c r="G23" s="35" t="str">
        <x:v>Full-window source harmonization (UNSD SNAAMA)</x:v>
      </x:c>
      <x:c r="H23" s="35" t="str">
        <x:v>UN Statistics Division, National Accounts Main Aggregates</x:v>
      </x:c>
      <x:c r="I23" s="35" t="str">
        <x:v>https://unstats.un.org/unsd/snaama/CountryProfile?ccode=728</x:v>
      </x:c>
      <x:c r="J23" s="35" t="str">
        <x:v>A — official international statistical source</x:v>
      </x:c>
      <x:c r="K23" s="35" t="str">
        <x:v>World Bank value was available for 2015, but the 2016-2017 WDI series is missing. The complete 2015-2017 South Sudan GDP/GDPpc window is therefore taken from one internally consistent UNSD National Accounts series; original WDI value remains in the raw audit sheet.</x:v>
      </x:c>
    </x:row>
    <x:row r="24">
      <x:c r="A24" s="35" t="str">
        <x:v>South Sudan</x:v>
      </x:c>
      <x:c r="B24" s="35" t="str">
        <x:v>SSD</x:v>
      </x:c>
      <x:c r="C24" s="35" t="str">
        <x:v>GDPpc</x:v>
      </x:c>
      <x:c r="D24" s="47" t="n">
        <x:v>2016</x:v>
      </x:c>
      <x:c r="E24" s="51"/>
      <x:c r="F24" s="51" t="n">
        <x:v>303</x:v>
      </x:c>
      <x:c r="G24" s="35" t="str">
        <x:v>Official-source completion (UNSD SNAAMA)</x:v>
      </x:c>
      <x:c r="H24" s="35" t="str">
        <x:v>UN Statistics Division, National Accounts Main Aggregates</x:v>
      </x:c>
      <x:c r="I24" s="35" t="str">
        <x:v>https://unstats.un.org/unsd/snaama/CountryProfile?ccode=728</x:v>
      </x:c>
      <x:c r="J24" s="35" t="str">
        <x:v>A — official international statistical source</x:v>
      </x:c>
      <x:c r="K24" s="35" t="str">
        <x:v>Current UNSD National Accounts Main Aggregates value for the same year and concept.</x:v>
      </x:c>
    </x:row>
    <x:row r="25">
      <x:c r="A25" s="35" t="str">
        <x:v>South Sudan</x:v>
      </x:c>
      <x:c r="B25" s="35" t="str">
        <x:v>SSD</x:v>
      </x:c>
      <x:c r="C25" s="35" t="str">
        <x:v>GDPpc</x:v>
      </x:c>
      <x:c r="D25" s="47" t="n">
        <x:v>2017</x:v>
      </x:c>
      <x:c r="E25" s="51"/>
      <x:c r="F25" s="51" t="n">
        <x:v>348</x:v>
      </x:c>
      <x:c r="G25" s="35" t="str">
        <x:v>Official-source completion (UNSD SNAAMA)</x:v>
      </x:c>
      <x:c r="H25" s="35" t="str">
        <x:v>UN Statistics Division, National Accounts Main Aggregates</x:v>
      </x:c>
      <x:c r="I25" s="35" t="str">
        <x:v>https://unstats.un.org/unsd/snaama/CountryProfile?ccode=728</x:v>
      </x:c>
      <x:c r="J25" s="35" t="str">
        <x:v>A — official international statistical source</x:v>
      </x:c>
      <x:c r="K25" s="35" t="str">
        <x:v>Current UNSD National Accounts Main Aggregates value for the same year and concept.</x:v>
      </x:c>
    </x:row>
    <x:row r="26">
      <x:c r="A26" s="35" t="str">
        <x:v>South Sudan</x:v>
      </x:c>
      <x:c r="B26" s="35" t="str">
        <x:v>SSD</x:v>
      </x:c>
      <x:c r="C26" s="35" t="str">
        <x:v>GasRent</x:v>
      </x:c>
      <x:c r="D26" s="47" t="n">
        <x:v>2016</x:v>
      </x:c>
      <x:c r="E26" s="51"/>
      <x:c r="F26" s="51" t="n">
        <x:v>0</x:v>
      </x:c>
      <x:c r="G26" s="35" t="str">
        <x:v>Evidence-validated structural zero</x:v>
      </x:c>
      <x:c r="H26" s="35" t="str">
        <x:v>U.S. EIA, Sudan and South Sudan energy analysis</x:v>
      </x:c>
      <x:c r="I26" s="35" t="str">
        <x:v>https://www.eia.gov/international/analysis/country/SDN</x:v>
      </x:c>
      <x:c r="J26" s="35" t="str">
        <x:v>A-/B+ — zero is mechanically implied by verified absence of extraction</x:v>
      </x:c>
      <x:c r="K26" s="35" t="str">
        <x:v>EIA reports no natural-gas or coal production/consumption in Sudan and South Sudan; the corresponding rent is recorded as structural zero.</x:v>
      </x:c>
    </x:row>
    <x:row r="27">
      <x:c r="A27" s="35" t="str">
        <x:v>South Sudan</x:v>
      </x:c>
      <x:c r="B27" s="35" t="str">
        <x:v>SSD</x:v>
      </x:c>
      <x:c r="C27" s="35" t="str">
        <x:v>GasRent</x:v>
      </x:c>
      <x:c r="D27" s="47" t="n">
        <x:v>2017</x:v>
      </x:c>
      <x:c r="E27" s="51"/>
      <x:c r="F27" s="51" t="n">
        <x:v>0</x:v>
      </x:c>
      <x:c r="G27" s="35" t="str">
        <x:v>Evidence-validated structural zero</x:v>
      </x:c>
      <x:c r="H27" s="35" t="str">
        <x:v>U.S. EIA, Sudan and South Sudan energy analysis</x:v>
      </x:c>
      <x:c r="I27" s="35" t="str">
        <x:v>https://www.eia.gov/international/analysis/country/SDN</x:v>
      </x:c>
      <x:c r="J27" s="35" t="str">
        <x:v>A-/B+ — zero is mechanically implied by verified absence of extraction</x:v>
      </x:c>
      <x:c r="K27" s="35" t="str">
        <x:v>EIA reports no natural-gas or coal production/consumption in Sudan and South Sudan; the corresponding rent is recorded as structural zero.</x:v>
      </x:c>
    </x:row>
    <x:row r="28">
      <x:c r="A28" s="35" t="str">
        <x:v>South Sudan</x:v>
      </x:c>
      <x:c r="B28" s="35" t="str">
        <x:v>SSD</x:v>
      </x:c>
      <x:c r="C28" s="35" t="str">
        <x:v>CoalRent</x:v>
      </x:c>
      <x:c r="D28" s="47" t="n">
        <x:v>2016</x:v>
      </x:c>
      <x:c r="E28" s="51"/>
      <x:c r="F28" s="51" t="n">
        <x:v>0</x:v>
      </x:c>
      <x:c r="G28" s="35" t="str">
        <x:v>Evidence-validated structural zero</x:v>
      </x:c>
      <x:c r="H28" s="35" t="str">
        <x:v>U.S. EIA, Sudan and South Sudan energy analysis</x:v>
      </x:c>
      <x:c r="I28" s="35" t="str">
        <x:v>https://www.eia.gov/international/analysis/country/SDN</x:v>
      </x:c>
      <x:c r="J28" s="35" t="str">
        <x:v>A-/B+ — zero is mechanically implied by verified absence of extraction</x:v>
      </x:c>
      <x:c r="K28" s="35" t="str">
        <x:v>EIA reports no natural-gas or coal production/consumption in Sudan and South Sudan; the corresponding rent is recorded as structural zero.</x:v>
      </x:c>
    </x:row>
    <x:row r="29">
      <x:c r="A29" s="35" t="str">
        <x:v>South Sudan</x:v>
      </x:c>
      <x:c r="B29" s="35" t="str">
        <x:v>SSD</x:v>
      </x:c>
      <x:c r="C29" s="35" t="str">
        <x:v>CoalRent</x:v>
      </x:c>
      <x:c r="D29" s="47" t="n">
        <x:v>2017</x:v>
      </x:c>
      <x:c r="E29" s="51"/>
      <x:c r="F29" s="51" t="n">
        <x:v>0</x:v>
      </x:c>
      <x:c r="G29" s="35" t="str">
        <x:v>Evidence-validated structural zero</x:v>
      </x:c>
      <x:c r="H29" s="35" t="str">
        <x:v>U.S. EIA, Sudan and South Sudan energy analysis</x:v>
      </x:c>
      <x:c r="I29" s="35" t="str">
        <x:v>https://www.eia.gov/international/analysis/country/SDN</x:v>
      </x:c>
      <x:c r="J29" s="35" t="str">
        <x:v>A-/B+ — zero is mechanically implied by verified absence of extraction</x:v>
      </x:c>
      <x:c r="K29" s="35" t="str">
        <x:v>EIA reports no natural-gas or coal production/consumption in Sudan and South Sudan; the corresponding rent is recorded as structural zero.</x:v>
      </x:c>
    </x:row>
    <x:row r="30">
      <x:c r="A30" s="35" t="str">
        <x:v>South Sudan</x:v>
      </x:c>
      <x:c r="B30" s="35" t="str">
        <x:v>SSD</x:v>
      </x:c>
      <x:c r="C30" s="35" t="str">
        <x:v>OilRent</x:v>
      </x:c>
      <x:c r="D30" s="47" t="n">
        <x:v>2016</x:v>
      </x:c>
      <x:c r="E30" s="51"/>
      <x:c r="F30" s="51" t="n">
        <x:v>31.3</x:v>
      </x:c>
      <x:c r="G30" s="35" t="str">
        <x:v>Direct alternative World Bank estimate</x:v>
      </x:c>
      <x:c r="H30" s="35" t="str">
        <x:v>World Bank, South Sudan economic reconstruction report</x:v>
      </x:c>
      <x:c r="I30" s="35" t="str">
        <x:v>https://documents1.worldbank.org/curated/en/099225406172235176/pdf/P1691211efb4c50f1511414aac19c481ecd3de45829a.pdf</x:v>
      </x:c>
      <x:c r="J30" s="35" t="str">
        <x:v>A — direct World Bank published same-concept estimate</x:v>
      </x:c>
      <x:c r="K30" s="35" t="str">
        <x:v>World Bank report states oil rents recovered to 31.3% of GDP in 2016.</x:v>
      </x:c>
    </x:row>
    <x:row r="31">
      <x:c r="A31" s="35" t="str">
        <x:v>South Sudan</x:v>
      </x:c>
      <x:c r="B31" s="35" t="str">
        <x:v>SSD</x:v>
      </x:c>
      <x:c r="C31" s="35" t="str">
        <x:v>OilRent</x:v>
      </x:c>
      <x:c r="D31" s="47" t="n">
        <x:v>2017</x:v>
      </x:c>
      <x:c r="E31" s="51"/>
      <x:c r="F31" s="51" t="n">
        <x:v>31.3</x:v>
      </x:c>
      <x:c r="G31" s="35" t="str">
        <x:v>Nearest-year proxy (2016 → 2017)</x:v>
      </x:c>
      <x:c r="H31" s="35" t="str">
        <x:v>World Bank 2016 oil-rent estimate; WDI series ends in 2015</x:v>
      </x:c>
      <x:c r="I31" s="35" t="str">
        <x:v>https://documents1.worldbank.org/curated/en/099225406172235176/pdf/P1691211efb4c50f1511414aac19c481ecd3de45829a.pdf</x:v>
      </x:c>
      <x:c r="J31" s="35" t="str">
        <x:v>B — transparent one-year numerical proxy</x:v>
      </x:c>
      <x:c r="K31" s="35" t="str">
        <x:v>No same-indicator 2017 official observation was located. The one-year nearest value (2016=31.3%) is used and explicitly flagged.</x:v>
      </x:c>
    </x:row>
  </x:sheetData>
  <x:conditionalFormatting sqref="G2:G31">
    <x:cfRule type="expression" dxfId="3" priority="1">
      <x:formula>ISNUMBER(SEARCH("proxy",G2))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4a84637cf56464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9" hidden="0" customWidth="1"/>
    <x:col min="4" max="4" width="16" hidden="0" customWidth="1"/>
    <x:col min="5" max="5" width="33" hidden="0" customWidth="1"/>
    <x:col min="6" max="6" width="17" hidden="0" customWidth="1"/>
    <x:col min="7" max="7" width="11" hidden="0" customWidth="1"/>
    <x:col min="40" max="40" width="34" hidden="0" customWidth="1"/>
    <x:col min="41" max="41" width="36" hidden="0" customWidth="1"/>
    <x:col min="42" max="42" width="45" hidden="0" customWidth="1"/>
    <x:col min="43" max="43" width="14" hidden="0" customWidth="1"/>
    <x:col min="44" max="44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>
      <x:c r="A1" s="53" t="str">
        <x:v>Country EN</x:v>
      </x:c>
      <x:c r="B1" s="53" t="str">
        <x:v>Country CN</x:v>
      </x:c>
      <x:c r="C1" s="53" t="str">
        <x:v>ISO3</x:v>
      </x:c>
      <x:c r="D1" s="53" t="str">
        <x:v>Baseline Archetype (internal)</x:v>
      </x:c>
      <x:c r="E1" s="53" t="str">
        <x:v>Paper Archetype Name</x:v>
      </x:c>
      <x:c r="F1" s="53" t="str">
        <x:v>Stability Label</x:v>
      </x:c>
      <x:c r="G1" s="53" t="str">
        <x:v>Main-text Mark</x:v>
      </x:c>
      <x:c r="H1" s="53" t="str">
        <x:v>GE_2015</x:v>
      </x:c>
      <x:c r="I1" s="53" t="str">
        <x:v>GE_2016</x:v>
      </x:c>
      <x:c r="J1" s="53" t="str">
        <x:v>GE_2017</x:v>
      </x:c>
      <x:c r="K1" s="53" t="str">
        <x:v>GE_mean_2015_2017</x:v>
      </x:c>
      <x:c r="L1" s="53" t="str">
        <x:v>PV_2015</x:v>
      </x:c>
      <x:c r="M1" s="53" t="str">
        <x:v>PV_2016</x:v>
      </x:c>
      <x:c r="N1" s="53" t="str">
        <x:v>PV_2017</x:v>
      </x:c>
      <x:c r="O1" s="53" t="str">
        <x:v>PV_mean_2015_2017</x:v>
      </x:c>
      <x:c r="P1" s="53" t="str">
        <x:v>GDP_2015</x:v>
      </x:c>
      <x:c r="Q1" s="53" t="str">
        <x:v>GDP_2016</x:v>
      </x:c>
      <x:c r="R1" s="53" t="str">
        <x:v>GDP_2017</x:v>
      </x:c>
      <x:c r="S1" s="53" t="str">
        <x:v>GDP_mean_2015_2017</x:v>
      </x:c>
      <x:c r="T1" s="53" t="str">
        <x:v>GDPpc_2015</x:v>
      </x:c>
      <x:c r="U1" s="53" t="str">
        <x:v>GDPpc_2016</x:v>
      </x:c>
      <x:c r="V1" s="53" t="str">
        <x:v>GDPpc_2017</x:v>
      </x:c>
      <x:c r="W1" s="53" t="str">
        <x:v>GDPpc_mean_2015_2017</x:v>
      </x:c>
      <x:c r="X1" s="53" t="str">
        <x:v>OilRent_2015</x:v>
      </x:c>
      <x:c r="Y1" s="53" t="str">
        <x:v>OilRent_2016</x:v>
      </x:c>
      <x:c r="Z1" s="53" t="str">
        <x:v>OilRent_2017</x:v>
      </x:c>
      <x:c r="AA1" s="53" t="str">
        <x:v>OilRent_mean_2015_2017</x:v>
      </x:c>
      <x:c r="AB1" s="53" t="str">
        <x:v>GasRent_2015</x:v>
      </x:c>
      <x:c r="AC1" s="53" t="str">
        <x:v>GasRent_2016</x:v>
      </x:c>
      <x:c r="AD1" s="53" t="str">
        <x:v>GasRent_2017</x:v>
      </x:c>
      <x:c r="AE1" s="53" t="str">
        <x:v>GasRent_mean_2015_2017</x:v>
      </x:c>
      <x:c r="AF1" s="53" t="str">
        <x:v>CoalRent_2015</x:v>
      </x:c>
      <x:c r="AG1" s="53" t="str">
        <x:v>CoalRent_2016</x:v>
      </x:c>
      <x:c r="AH1" s="53" t="str">
        <x:v>CoalRent_2017</x:v>
      </x:c>
      <x:c r="AI1" s="53" t="str">
        <x:v>CoalRent_mean_2015_2017</x:v>
      </x:c>
      <x:c r="AJ1" s="53" t="str">
        <x:v>FossilRent_2015</x:v>
      </x:c>
      <x:c r="AK1" s="53" t="str">
        <x:v>FossilRent_2016</x:v>
      </x:c>
      <x:c r="AL1" s="53" t="str">
        <x:v>FossilRent_2017</x:v>
      </x:c>
      <x:c r="AM1" s="53" t="str">
        <x:v>FossilRent_mean_2015_2017</x:v>
      </x:c>
      <x:c r="AN1" s="41" t="str">
        <x:v>Completion_Flag</x:v>
      </x:c>
      <x:c r="AO1" s="41" t="str">
        <x:v>GDP_Source_Method</x:v>
      </x:c>
      <x:c r="AP1" s="41" t="str">
        <x:v>Fossil_Source_Method</x:v>
      </x:c>
      <x:c r="AQ1" s="41" t="str">
        <x:v>Any_Numeric_Proxy</x:v>
      </x:c>
      <x:c r="AR1" s="41" t="str">
        <x:v>Numeric_Proxy_Cell_Count</x:v>
      </x:c>
    </x:row>
    <x:row r="2">
      <x:c r="A2" s="54" t="str">
        <x:v>Algeria</x:v>
      </x:c>
      <x:c r="B2" s="54" t="str">
        <x:v>阿尔及利亚</x:v>
      </x:c>
      <x:c r="C2" s="54" t="str">
        <x:v>DZA</x:v>
      </x:c>
      <x:c r="D2" s="54" t="str">
        <x:v>Lagging</x:v>
      </x:c>
      <x:c r="E2" s="54" t="str">
        <x:v>Transition-Constrained Archetype</x:v>
      </x:c>
      <x:c r="F2" s="54" t="str">
        <x:v>High stability</x:v>
      </x:c>
      <x:c r="G2" s="54"/>
      <x:c r="H2" s="57" t="n">
        <x:v>-0.3555636</x:v>
      </x:c>
      <x:c r="I2" s="57" t="n">
        <x:v>-0.4244363</x:v>
      </x:c>
      <x:c r="J2" s="57" t="n">
        <x:v>-0.5231578</x:v>
      </x:c>
      <x:c r="K2" s="57" t="n">
        <x:f>AVERAGE(H2:J2)</x:f>
        <x:v>-0.43438589999999994</x:v>
      </x:c>
      <x:c r="L2" s="57" t="n">
        <x:v>-1.049624</x:v>
      </x:c>
      <x:c r="M2" s="57" t="n">
        <x:v>-1.1245845</x:v>
      </x:c>
      <x:c r="N2" s="57" t="n">
        <x:v>-0.9295045999999999</x:v>
      </x:c>
      <x:c r="O2" s="57" t="n">
        <x:f>AVERAGE(L2:N2)</x:f>
        <x:v>-1.0345710333333333</x:v>
      </x:c>
      <x:c r="P2" s="59" t="n">
        <x:v>187493855609.3446</x:v>
      </x:c>
      <x:c r="Q2" s="59" t="n">
        <x:v>180763839522.1508</x:v>
      </x:c>
      <x:c r="R2" s="59" t="n">
        <x:v>189880896903.0733</x:v>
      </x:c>
      <x:c r="S2" s="59" t="n">
        <x:f>AVERAGE(P2:R2)</x:f>
        <x:v>186046197344.8562</x:v>
      </x:c>
      <x:c r="T2" s="61" t="n">
        <x:v>4685.059027290017</x:v>
      </x:c>
      <x:c r="U2" s="61" t="n">
        <x:v>4424.985290275557</x:v>
      </x:c>
      <x:c r="V2" s="61" t="n">
        <x:v>4554.667539578281</x:v>
      </x:c>
      <x:c r="W2" s="61" t="n">
        <x:f>AVERAGE(T2:V2)</x:f>
        <x:v>4554.903952381285</x:v>
      </x:c>
      <x:c r="X2" s="57" t="n">
        <x:v>11.7459031918092</x:v>
      </x:c>
      <x:c r="Y2" s="57" t="n">
        <x:v>10.0262189142963</x:v>
      </x:c>
      <x:c r="Z2" s="57" t="n">
        <x:v>12.1565741270026</x:v>
      </x:c>
      <x:c r="AA2" s="57" t="n">
        <x:f>AVERAGE(X2:Z2)</x:f>
        <x:v>11.309565411036033</x:v>
      </x:c>
      <x:c r="AB2" s="57" t="n">
        <x:v>2.90603072482324</x:v>
      </x:c>
      <x:c r="AC2" s="57" t="n">
        <x:v>2.56694843286828</x:v>
      </x:c>
      <x:c r="AD2" s="57" t="n">
        <x:v>2.96806789859693</x:v>
      </x:c>
      <x:c r="AE2" s="57" t="n">
        <x:f>AVERAGE(AB2:AD2)</x:f>
        <x:v>2.81368235209615</x:v>
      </x:c>
      <x:c r="AF2" s="57" t="n">
        <x:v>0</x:v>
      </x:c>
      <x:c r="AG2" s="57" t="n">
        <x:v>0</x:v>
      </x:c>
      <x:c r="AH2" s="57" t="n">
        <x:v>0</x:v>
      </x:c>
      <x:c r="AI2" s="57" t="n">
        <x:f>AVERAGE(AF2:AH2)</x:f>
        <x:v>0</x:v>
      </x:c>
      <x:c r="AJ2" s="57" t="n">
        <x:f>SUM(X2,AB2,AF2)</x:f>
        <x:v>14.65193391663244</x:v>
      </x:c>
      <x:c r="AK2" s="57" t="n">
        <x:f>SUM(Y2,AC2,AG2)</x:f>
        <x:v>12.593167347164579</x:v>
      </x:c>
      <x:c r="AL2" s="57" t="n">
        <x:f>SUM(Z2,AD2,AH2)</x:f>
        <x:v>15.12464202559953</x:v>
      </x:c>
      <x:c r="AM2" s="57" t="n">
        <x:f>AVERAGE(AJ2:AL2)</x:f>
        <x:v>14.123247763132182</x:v>
      </x:c>
      <x:c r="AN2" s="35" t="str">
        <x:v>Original World Bank/WGI 2015-2017 data complete</x:v>
      </x:c>
      <x:c r="AO2" s="35" t="str">
        <x:v>World Bank WDI</x:v>
      </x:c>
      <x:c r="AP2" s="35" t="str">
        <x:v>World Bank WDI oil + gas + coal rents</x:v>
      </x:c>
      <x:c r="AQ2" s="35" t="str">
        <x:v>No</x:v>
      </x:c>
      <x:c r="AR2" s="35" t="n">
        <x:v>0</x:v>
      </x:c>
    </x:row>
    <x:row r="3">
      <x:c r="A3" s="54" t="str">
        <x:v>Angola</x:v>
      </x:c>
      <x:c r="B3" s="54" t="str">
        <x:v>安哥拉</x:v>
      </x:c>
      <x:c r="C3" s="54" t="str">
        <x:v>AGO</x:v>
      </x:c>
      <x:c r="D3" s="54" t="str">
        <x:v>Leading</x:v>
      </x:c>
      <x:c r="E3" s="54" t="str">
        <x:v>Scale-and-Momentum Leadership Archetype</x:v>
      </x:c>
      <x:c r="F3" s="54" t="str">
        <x:v>Moderate stability</x:v>
      </x:c>
      <x:c r="G3" s="54"/>
      <x:c r="H3" s="57" t="n">
        <x:v>-0.9378236999999999</x:v>
      </x:c>
      <x:c r="I3" s="57" t="n">
        <x:v>-0.9493847</x:v>
      </x:c>
      <x:c r="J3" s="57" t="n">
        <x:v>-0.9681156999999999</x:v>
      </x:c>
      <x:c r="K3" s="57" t="n">
        <x:f>AVERAGE(H3:J3)</x:f>
        <x:v>-0.9517747</x:v>
      </x:c>
      <x:c r="L3" s="57" t="n">
        <x:v>-0.5591026</x:v>
      </x:c>
      <x:c r="M3" s="57" t="n">
        <x:v>-0.434628</x:v>
      </x:c>
      <x:c r="N3" s="57" t="n">
        <x:v>-0.5372144999999999</x:v>
      </x:c>
      <x:c r="O3" s="57" t="n">
        <x:f>AVERAGE(L3:N3)</x:f>
        <x:v>-0.5103150333333333</x:v>
      </x:c>
      <x:c r="P3" s="59" t="n">
        <x:v>102543067840.8191</x:v>
      </x:c>
      <x:c r="Q3" s="59" t="n">
        <x:v>60770049747.38317</x:v>
      </x:c>
      <x:c r="R3" s="59" t="n">
        <x:v>85629598654.19057</x:v>
      </x:c>
      <x:c r="S3" s="59" t="n">
        <x:f>AVERAGE(P3:R3)</x:f>
        <x:v>82980905414.13094</x:v>
      </x:c>
      <x:c r="T3" s="61" t="n">
        <x:v>3641.728939202528</x:v>
      </x:c>
      <x:c r="U3" s="61" t="n">
        <x:v>2082.373435947046</x:v>
      </x:c>
      <x:c r="V3" s="61" t="n">
        <x:v>2832.149979505119</x:v>
      </x:c>
      <x:c r="W3" s="61" t="n">
        <x:f>AVERAGE(T3:V3)</x:f>
        <x:v>2852.0841182182307</x:v>
      </x:c>
      <x:c r="X3" s="57" t="n">
        <x:v>12.7187303090272</x:v>
      </x:c>
      <x:c r="Y3" s="57" t="n">
        <x:v>19.7483988340046</x:v>
      </x:c>
      <x:c r="Z3" s="57" t="n">
        <x:v>24.7110060055382</x:v>
      </x:c>
      <x:c r="AA3" s="57" t="n">
        <x:f>AVERAGE(X3:Z3)</x:f>
        <x:v>19.059378382856664</x:v>
      </x:c>
      <x:c r="AB3" s="57" t="n">
        <x:v>0.0604405605969015</x:v>
      </x:c>
      <x:c r="AC3" s="57" t="n">
        <x:v>0.158766315983972</x:v>
      </x:c>
      <x:c r="AD3" s="57" t="n">
        <x:v>0.476162010407452</x:v>
      </x:c>
      <x:c r="AE3" s="57" t="n">
        <x:f>AVERAGE(AB3:AD3)</x:f>
        <x:v>0.23178962899610847</x:v>
      </x:c>
      <x:c r="AF3" s="57" t="n">
        <x:v>0</x:v>
      </x:c>
      <x:c r="AG3" s="57" t="n">
        <x:v>0</x:v>
      </x:c>
      <x:c r="AH3" s="57" t="n">
        <x:v>0</x:v>
      </x:c>
      <x:c r="AI3" s="57" t="n">
        <x:f>AVERAGE(AF3:AH3)</x:f>
        <x:v>0</x:v>
      </x:c>
      <x:c r="AJ3" s="57" t="n">
        <x:f>SUM(X3,AB3,AF3)</x:f>
        <x:v>12.779170869624101</x:v>
      </x:c>
      <x:c r="AK3" s="57" t="n">
        <x:f>SUM(Y3,AC3,AG3)</x:f>
        <x:v>19.907165149988572</x:v>
      </x:c>
      <x:c r="AL3" s="57" t="n">
        <x:f>SUM(Z3,AD3,AH3)</x:f>
        <x:v>25.18716801594565</x:v>
      </x:c>
      <x:c r="AM3" s="57" t="n">
        <x:f>AVERAGE(AJ3:AL3)</x:f>
        <x:v>19.291168011852776</x:v>
      </x:c>
      <x:c r="AN3" s="35" t="str">
        <x:v>Original World Bank/WGI 2015-2017 data complete</x:v>
      </x:c>
      <x:c r="AO3" s="35" t="str">
        <x:v>World Bank WDI</x:v>
      </x:c>
      <x:c r="AP3" s="35" t="str">
        <x:v>World Bank WDI oil + gas + coal rents</x:v>
      </x:c>
      <x:c r="AQ3" s="35" t="str">
        <x:v>No</x:v>
      </x:c>
      <x:c r="AR3" s="35" t="n">
        <x:v>0</x:v>
      </x:c>
    </x:row>
    <x:row r="4">
      <x:c r="A4" s="54" t="str">
        <x:v>Benin</x:v>
      </x:c>
      <x:c r="B4" s="54" t="str">
        <x:v>贝宁</x:v>
      </x:c>
      <x:c r="C4" s="54" t="str">
        <x:v>BEN</x:v>
      </x:c>
      <x:c r="D4" s="54" t="str">
        <x:v>Lagging</x:v>
      </x:c>
      <x:c r="E4" s="54" t="str">
        <x:v>Transition-Constrained Archetype</x:v>
      </x:c>
      <x:c r="F4" s="54" t="str">
        <x:v>High stability</x:v>
      </x:c>
      <x:c r="G4" s="54"/>
      <x:c r="H4" s="57" t="n">
        <x:v>-0.5410404</x:v>
      </x:c>
      <x:c r="I4" s="57" t="n">
        <x:v>-0.4948066</x:v>
      </x:c>
      <x:c r="J4" s="57" t="n">
        <x:v>-0.46663</x:v>
      </x:c>
      <x:c r="K4" s="57" t="n">
        <x:f>AVERAGE(H4:J4)</x:f>
        <x:v>-0.5008256666666666</x:v>
      </x:c>
      <x:c r="L4" s="57" t="n">
        <x:v>0.117506</x:v>
      </x:c>
      <x:c r="M4" s="57" t="n">
        <x:v>0.2420032</x:v>
      </x:c>
      <x:c r="N4" s="57" t="n">
        <x:v>0.3155886</x:v>
      </x:c>
      <x:c r="O4" s="57" t="n">
        <x:f>AVERAGE(L4:N4)</x:f>
        <x:v>0.2250326</x:v>
      </x:c>
      <x:c r="P4" s="59" t="n">
        <x:v>11388160996.77378</x:v>
      </x:c>
      <x:c r="Q4" s="59" t="n">
        <x:v>11821065853.38379</x:v>
      </x:c>
      <x:c r="R4" s="59" t="n">
        <x:v>12701655836.9467</x:v>
      </x:c>
      <x:c r="S4" s="59" t="n">
        <x:f>AVERAGE(P4:R4)</x:f>
        <x:v>11970294229.034758</x:v>
      </x:c>
      <x:c r="T4" s="61" t="n">
        <x:v>1002.418868796138</x:v>
      </x:c>
      <x:c r="U4" s="61" t="n">
        <x:v>1010.533896199298</x:v>
      </x:c>
      <x:c r="V4" s="61" t="n">
        <x:v>1054.974080668143</x:v>
      </x:c>
      <x:c r="W4" s="61" t="n">
        <x:f>AVERAGE(T4:V4)</x:f>
        <x:v>1022.6422818878597</x:v>
      </x:c>
      <x:c r="X4" s="57" t="n">
        <x:v>0.0533746520369224</x:v>
      </x:c>
      <x:c r="Y4" s="57" t="n">
        <x:v>0.0514773561767198</x:v>
      </x:c>
      <x:c r="Z4" s="57" t="n">
        <x:v>0.0874965519938235</x:v>
      </x:c>
      <x:c r="AA4" s="57" t="n">
        <x:f>AVERAGE(X4:Z4)</x:f>
        <x:v>0.06411618673582191</x:v>
      </x:c>
      <x:c r="AB4" s="57" t="n">
        <x:v>0</x:v>
      </x:c>
      <x:c r="AC4" s="57" t="n">
        <x:v>0</x:v>
      </x:c>
      <x:c r="AD4" s="57" t="n">
        <x:v>0</x:v>
      </x:c>
      <x:c r="AE4" s="57" t="n">
        <x:f>AVERAGE(AB4:AD4)</x:f>
        <x:v>0</x:v>
      </x:c>
      <x:c r="AF4" s="57" t="n">
        <x:v>0</x:v>
      </x:c>
      <x:c r="AG4" s="57" t="n">
        <x:v>0</x:v>
      </x:c>
      <x:c r="AH4" s="57" t="n">
        <x:v>0</x:v>
      </x:c>
      <x:c r="AI4" s="57" t="n">
        <x:f>AVERAGE(AF4:AH4)</x:f>
        <x:v>0</x:v>
      </x:c>
      <x:c r="AJ4" s="57" t="n">
        <x:f>SUM(X4,AB4,AF4)</x:f>
        <x:v>0.0533746520369224</x:v>
      </x:c>
      <x:c r="AK4" s="57" t="n">
        <x:f>SUM(Y4,AC4,AG4)</x:f>
        <x:v>0.0514773561767198</x:v>
      </x:c>
      <x:c r="AL4" s="57" t="n">
        <x:f>SUM(Z4,AD4,AH4)</x:f>
        <x:v>0.0874965519938235</x:v>
      </x:c>
      <x:c r="AM4" s="57" t="n">
        <x:f>AVERAGE(AJ4:AL4)</x:f>
        <x:v>0.06411618673582191</x:v>
      </x:c>
      <x:c r="AN4" s="35" t="str">
        <x:v>Original World Bank/WGI 2015-2017 data complete</x:v>
      </x:c>
      <x:c r="AO4" s="35" t="str">
        <x:v>World Bank WDI</x:v>
      </x:c>
      <x:c r="AP4" s="35" t="str">
        <x:v>World Bank WDI oil + gas + coal rents</x:v>
      </x:c>
      <x:c r="AQ4" s="35" t="str">
        <x:v>No</x:v>
      </x:c>
      <x:c r="AR4" s="35" t="n">
        <x:v>0</x:v>
      </x:c>
    </x:row>
    <x:row r="5">
      <x:c r="A5" s="54" t="str">
        <x:v>Botswana</x:v>
      </x:c>
      <x:c r="B5" s="54" t="str">
        <x:v>博茨瓦纳</x:v>
      </x:c>
      <x:c r="C5" s="54" t="str">
        <x:v>BWA</x:v>
      </x:c>
      <x:c r="D5" s="54" t="str">
        <x:v>Lagging</x:v>
      </x:c>
      <x:c r="E5" s="54" t="str">
        <x:v>Transition-Constrained Archetype</x:v>
      </x:c>
      <x:c r="F5" s="54" t="str">
        <x:v>High stability</x:v>
      </x:c>
      <x:c r="G5" s="54"/>
      <x:c r="H5" s="57" t="n">
        <x:v>0.5694336999999999</x:v>
      </x:c>
      <x:c r="I5" s="57" t="n">
        <x:v>0.5361602999999999</x:v>
      </x:c>
      <x:c r="J5" s="57" t="n">
        <x:v>0.4156169</x:v>
      </x:c>
      <x:c r="K5" s="57" t="n">
        <x:f>AVERAGE(H5:J5)</x:f>
        <x:v>0.5070703</x:v>
      </x:c>
      <x:c r="L5" s="57" t="n">
        <x:v>1.1318799</x:v>
      </x:c>
      <x:c r="M5" s="57" t="n">
        <x:v>0.9837653</x:v>
      </x:c>
      <x:c r="N5" s="57" t="n">
        <x:v>1.0166207</x:v>
      </x:c>
      <x:c r="O5" s="57" t="n">
        <x:f>AVERAGE(L5:N5)</x:f>
        <x:v>1.0440886333333335</x:v>
      </x:c>
      <x:c r="P5" s="59" t="n">
        <x:v>13530748844.50496</x:v>
      </x:c>
      <x:c r="Q5" s="59" t="n">
        <x:v>15082637184.04962</x:v>
      </x:c>
      <x:c r="R5" s="59" t="n">
        <x:v>16105155856.77082</x:v>
      </x:c>
      <x:c r="S5" s="59" t="n">
        <x:f>AVERAGE(P5:R5)</x:f>
        <x:v>14906180628.441801</x:v>
      </x:c>
      <x:c r="T5" s="61" t="n">
        <x:v>6141.203947266163</x:v>
      </x:c>
      <x:c r="U5" s="61" t="n">
        <x:v>6749.05994339013</x:v>
      </x:c>
      <x:c r="V5" s="61" t="n">
        <x:v>7104.964010880272</x:v>
      </x:c>
      <x:c r="W5" s="61" t="n">
        <x:f>AVERAGE(T5:V5)</x:f>
        <x:v>6665.075967178855</x:v>
      </x:c>
      <x:c r="X5" s="57" t="n">
        <x:v>0</x:v>
      </x:c>
      <x:c r="Y5" s="57" t="n">
        <x:v>0</x:v>
      </x:c>
      <x:c r="Z5" s="57" t="n">
        <x:v>0</x:v>
      </x:c>
      <x:c r="AA5" s="57" t="n">
        <x:f>AVERAGE(X5:Z5)</x:f>
        <x:v>0</x:v>
      </x:c>
      <x:c r="AB5" s="57" t="n">
        <x:v>0</x:v>
      </x:c>
      <x:c r="AC5" s="57" t="n">
        <x:v>0</x:v>
      </x:c>
      <x:c r="AD5" s="57" t="n">
        <x:v>0</x:v>
      </x:c>
      <x:c r="AE5" s="57" t="n">
        <x:f>AVERAGE(AB5:AD5)</x:f>
        <x:v>0</x:v>
      </x:c>
      <x:c r="AF5" s="57" t="n">
        <x:v>0.307384412369603</x:v>
      </x:c>
      <x:c r="AG5" s="57" t="n">
        <x:v>0.279219006721672</x:v>
      </x:c>
      <x:c r="AH5" s="57" t="n">
        <x:v>0.41284939046878</x:v>
      </x:c>
      <x:c r="AI5" s="57" t="n">
        <x:f>AVERAGE(AF5:AH5)</x:f>
        <x:v>0.3331509365200183</x:v>
      </x:c>
      <x:c r="AJ5" s="57" t="n">
        <x:f>SUM(X5,AB5,AF5)</x:f>
        <x:v>0.307384412369603</x:v>
      </x:c>
      <x:c r="AK5" s="57" t="n">
        <x:f>SUM(Y5,AC5,AG5)</x:f>
        <x:v>0.279219006721672</x:v>
      </x:c>
      <x:c r="AL5" s="57" t="n">
        <x:f>SUM(Z5,AD5,AH5)</x:f>
        <x:v>0.41284939046878</x:v>
      </x:c>
      <x:c r="AM5" s="57" t="n">
        <x:f>AVERAGE(AJ5:AL5)</x:f>
        <x:v>0.3331509365200183</x:v>
      </x:c>
      <x:c r="AN5" s="35" t="str">
        <x:v>Original World Bank/WGI 2015-2017 data complete</x:v>
      </x:c>
      <x:c r="AO5" s="35" t="str">
        <x:v>World Bank WDI</x:v>
      </x:c>
      <x:c r="AP5" s="35" t="str">
        <x:v>World Bank WDI oil + gas + coal rents</x:v>
      </x:c>
      <x:c r="AQ5" s="35" t="str">
        <x:v>No</x:v>
      </x:c>
      <x:c r="AR5" s="35" t="n">
        <x:v>0</x:v>
      </x:c>
    </x:row>
    <x:row r="6">
      <x:c r="A6" s="54" t="str">
        <x:v>Burkina Faso</x:v>
      </x:c>
      <x:c r="B6" s="54" t="str">
        <x:v>布基纳法索</x:v>
      </x:c>
      <x:c r="C6" s="54" t="str">
        <x:v>BFA</x:v>
      </x:c>
      <x:c r="D6" s="54" t="str">
        <x:v>Lagging</x:v>
      </x:c>
      <x:c r="E6" s="54" t="str">
        <x:v>Transition-Constrained Archetype</x:v>
      </x:c>
      <x:c r="F6" s="54" t="str">
        <x:v>High stability</x:v>
      </x:c>
      <x:c r="G6" s="54"/>
      <x:c r="H6" s="57" t="n">
        <x:v>-0.6531110999999999</x:v>
      </x:c>
      <x:c r="I6" s="57" t="n">
        <x:v>-0.5249351999999999</x:v>
      </x:c>
      <x:c r="J6" s="57" t="n">
        <x:v>-0.5109374999999999</x:v>
      </x:c>
      <x:c r="K6" s="57" t="n">
        <x:f>AVERAGE(H6:J6)</x:f>
        <x:v>-0.5629946</x:v>
      </x:c>
      <x:c r="L6" s="57" t="n">
        <x:v>-0.6795154</x:v>
      </x:c>
      <x:c r="M6" s="57" t="n">
        <x:v>-0.9073878</x:v>
      </x:c>
      <x:c r="N6" s="57" t="n">
        <x:v>-0.8556655999999999</x:v>
      </x:c>
      <x:c r="O6" s="57" t="n">
        <x:f>AVERAGE(L6:N6)</x:f>
        <x:v>-0.8141896000000001</x:v>
      </x:c>
      <x:c r="P6" s="59" t="n">
        <x:v>11832159315.62978</x:v>
      </x:c>
      <x:c r="Q6" s="59" t="n">
        <x:v>12833363045.33665</x:v>
      </x:c>
      <x:c r="R6" s="59" t="n">
        <x:v>14106955615.34418</x:v>
      </x:c>
      <x:c r="S6" s="59" t="n">
        <x:f>AVERAGE(P6:R6)</x:f>
        <x:v>12924159325.436869</x:v>
      </x:c>
      <x:c r="T6" s="61" t="n">
        <x:v>630.124750752312</x:v>
      </x:c>
      <x:c r="U6" s="61" t="n">
        <x:v>663.7423648428855</x:v>
      </x:c>
      <x:c r="V6" s="61" t="n">
        <x:v>709.0915358946953</x:v>
      </x:c>
      <x:c r="W6" s="61" t="n">
        <x:f>AVERAGE(T6:V6)</x:f>
        <x:v>667.6528838299643</x:v>
      </x:c>
      <x:c r="X6" s="57" t="n">
        <x:v>0</x:v>
      </x:c>
      <x:c r="Y6" s="57" t="n">
        <x:v>0</x:v>
      </x:c>
      <x:c r="Z6" s="57" t="n">
        <x:v>0</x:v>
      </x:c>
      <x:c r="AA6" s="57" t="n">
        <x:f>AVERAGE(X6:Z6)</x:f>
        <x:v>0</x:v>
      </x:c>
      <x:c r="AB6" s="57" t="n">
        <x:v>0</x:v>
      </x:c>
      <x:c r="AC6" s="57" t="n">
        <x:v>0</x:v>
      </x:c>
      <x:c r="AD6" s="57" t="n">
        <x:v>0</x:v>
      </x:c>
      <x:c r="AE6" s="57" t="n">
        <x:f>AVERAGE(AB6:AD6)</x:f>
        <x:v>0</x:v>
      </x:c>
      <x:c r="AF6" s="57" t="n">
        <x:v>0</x:v>
      </x:c>
      <x:c r="AG6" s="57" t="n">
        <x:v>0</x:v>
      </x:c>
      <x:c r="AH6" s="57" t="n">
        <x:v>0</x:v>
      </x:c>
      <x:c r="AI6" s="57" t="n">
        <x:f>AVERAGE(AF6:AH6)</x:f>
        <x:v>0</x:v>
      </x:c>
      <x:c r="AJ6" s="57" t="n">
        <x:f>SUM(X6,AB6,AF6)</x:f>
        <x:v>0</x:v>
      </x:c>
      <x:c r="AK6" s="57" t="n">
        <x:f>SUM(Y6,AC6,AG6)</x:f>
        <x:v>0</x:v>
      </x:c>
      <x:c r="AL6" s="57" t="n">
        <x:f>SUM(Z6,AD6,AH6)</x:f>
        <x:v>0</x:v>
      </x:c>
      <x:c r="AM6" s="57" t="n">
        <x:f>AVERAGE(AJ6:AL6)</x:f>
        <x:v>0</x:v>
      </x:c>
      <x:c r="AN6" s="35" t="str">
        <x:v>Original World Bank/WGI 2015-2017 data complete</x:v>
      </x:c>
      <x:c r="AO6" s="35" t="str">
        <x:v>World Bank WDI</x:v>
      </x:c>
      <x:c r="AP6" s="35" t="str">
        <x:v>World Bank WDI oil + gas + coal rents</x:v>
      </x:c>
      <x:c r="AQ6" s="35" t="str">
        <x:v>No</x:v>
      </x:c>
      <x:c r="AR6" s="35" t="n">
        <x:v>0</x:v>
      </x:c>
    </x:row>
    <x:row r="7">
      <x:c r="A7" s="54" t="str">
        <x:v>Burundi</x:v>
      </x:c>
      <x:c r="B7" s="54" t="str">
        <x:v>布隆迪</x:v>
      </x:c>
      <x:c r="C7" s="54" t="str">
        <x:v>BDI</x:v>
      </x:c>
      <x:c r="D7" s="54" t="str">
        <x:v>Lagging</x:v>
      </x:c>
      <x:c r="E7" s="54" t="str">
        <x:v>Transition-Constrained Archetype</x:v>
      </x:c>
      <x:c r="F7" s="54" t="str">
        <x:v>High stability</x:v>
      </x:c>
      <x:c r="G7" s="54"/>
      <x:c r="H7" s="57" t="n">
        <x:v>-0.9257032</x:v>
      </x:c>
      <x:c r="I7" s="57" t="n">
        <x:v>-1.0721309</x:v>
      </x:c>
      <x:c r="J7" s="57" t="n">
        <x:v>-0.9217582999999999</x:v>
      </x:c>
      <x:c r="K7" s="57" t="n">
        <x:f>AVERAGE(H7:J7)</x:f>
        <x:v>-0.9731974666666666</x:v>
      </x:c>
      <x:c r="L7" s="57" t="n">
        <x:v>-2.0364509</x:v>
      </x:c>
      <x:c r="M7" s="57" t="n">
        <x:v>-2.106715</x:v>
      </x:c>
      <x:c r="N7" s="57" t="n">
        <x:v>-2.0904201</x:v>
      </x:c>
      <x:c r="O7" s="57" t="n">
        <x:f>AVERAGE(L7:N7)</x:f>
        <x:v>-2.0778619999999997</x:v>
      </x:c>
      <x:c r="P7" s="59" t="n">
        <x:v>2810532912.499755</x:v>
      </x:c>
      <x:c r="Q7" s="59" t="n">
        <x:v>2618093125.146873</x:v>
      </x:c>
      <x:c r="R7" s="59" t="n">
        <x:v>2831362208.340392</x:v>
      </x:c>
      <x:c r="S7" s="59" t="n">
        <x:f>AVERAGE(P7:R7)</x:f>
        <x:v>2753329415.3290067</x:v>
      </x:c>
      <x:c r="T7" s="61" t="n">
        <x:v>254.4025852267877</x:v>
      </x:c>
      <x:c r="U7" s="61" t="n">
        <x:v>232.9378121001527</x:v>
      </x:c>
      <x:c r="V7" s="61" t="n">
        <x:v>246.0607257141837</x:v>
      </x:c>
      <x:c r="W7" s="61" t="n">
        <x:f>AVERAGE(T7:V7)</x:f>
        <x:v>244.46704101370804</x:v>
      </x:c>
      <x:c r="X7" s="57" t="n">
        <x:v>0</x:v>
      </x:c>
      <x:c r="Y7" s="57" t="n">
        <x:v>0</x:v>
      </x:c>
      <x:c r="Z7" s="57" t="n">
        <x:v>0</x:v>
      </x:c>
      <x:c r="AA7" s="57" t="n">
        <x:f>AVERAGE(X7:Z7)</x:f>
        <x:v>0</x:v>
      </x:c>
      <x:c r="AB7" s="57" t="n">
        <x:v>0</x:v>
      </x:c>
      <x:c r="AC7" s="57" t="n">
        <x:v>0</x:v>
      </x:c>
      <x:c r="AD7" s="57" t="n">
        <x:v>0</x:v>
      </x:c>
      <x:c r="AE7" s="57" t="n">
        <x:f>AVERAGE(AB7:AD7)</x:f>
        <x:v>0</x:v>
      </x:c>
      <x:c r="AF7" s="57" t="n">
        <x:v>0</x:v>
      </x:c>
      <x:c r="AG7" s="57" t="n">
        <x:v>0</x:v>
      </x:c>
      <x:c r="AH7" s="57" t="n">
        <x:v>0</x:v>
      </x:c>
      <x:c r="AI7" s="57" t="n">
        <x:f>AVERAGE(AF7:AH7)</x:f>
        <x:v>0</x:v>
      </x:c>
      <x:c r="AJ7" s="57" t="n">
        <x:f>SUM(X7,AB7,AF7)</x:f>
        <x:v>0</x:v>
      </x:c>
      <x:c r="AK7" s="57" t="n">
        <x:f>SUM(Y7,AC7,AG7)</x:f>
        <x:v>0</x:v>
      </x:c>
      <x:c r="AL7" s="57" t="n">
        <x:f>SUM(Z7,AD7,AH7)</x:f>
        <x:v>0</x:v>
      </x:c>
      <x:c r="AM7" s="57" t="n">
        <x:f>AVERAGE(AJ7:AL7)</x:f>
        <x:v>0</x:v>
      </x:c>
      <x:c r="AN7" s="35" t="str">
        <x:v>Original World Bank/WGI 2015-2017 data complete</x:v>
      </x:c>
      <x:c r="AO7" s="35" t="str">
        <x:v>World Bank WDI</x:v>
      </x:c>
      <x:c r="AP7" s="35" t="str">
        <x:v>World Bank WDI oil + gas + coal rents</x:v>
      </x:c>
      <x:c r="AQ7" s="35" t="str">
        <x:v>No</x:v>
      </x:c>
      <x:c r="AR7" s="35" t="n">
        <x:v>0</x:v>
      </x:c>
    </x:row>
    <x:row r="8">
      <x:c r="A8" s="54" t="str">
        <x:v>Cabo Verde</x:v>
      </x:c>
      <x:c r="B8" s="54" t="str">
        <x:v>佛得角</x:v>
      </x:c>
      <x:c r="C8" s="54" t="str">
        <x:v>CPV</x:v>
      </x:c>
      <x:c r="D8" s="54" t="str">
        <x:v>Balancing</x:v>
      </x:c>
      <x:c r="E8" s="54" t="str">
        <x:v>System-Deepening Archetype</x:v>
      </x:c>
      <x:c r="F8" s="54" t="str">
        <x:v>High stability</x:v>
      </x:c>
      <x:c r="G8" s="54"/>
      <x:c r="H8" s="57" t="n">
        <x:v>0.3232931</x:v>
      </x:c>
      <x:c r="I8" s="57" t="n">
        <x:v>0.2898294</x:v>
      </x:c>
      <x:c r="J8" s="57" t="n">
        <x:v>0.3194131</x:v>
      </x:c>
      <x:c r="K8" s="57" t="n">
        <x:f>AVERAGE(H8:J8)</x:f>
        <x:v>0.3108452</x:v>
      </x:c>
      <x:c r="L8" s="57" t="n">
        <x:v>0.8435225</x:v>
      </x:c>
      <x:c r="M8" s="57" t="n">
        <x:v>0.827822</x:v>
      </x:c>
      <x:c r="N8" s="57" t="n">
        <x:v>0.7203252</x:v>
      </x:c>
      <x:c r="O8" s="57" t="n">
        <x:f>AVERAGE(L8:N8)</x:f>
        <x:v>0.7972232333333333</x:v>
      </x:c>
      <x:c r="P8" s="59" t="n">
        <x:v>1749857620.353287</x:v>
      </x:c>
      <x:c r="Q8" s="59" t="n">
        <x:v>1849789985.995723</x:v>
      </x:c>
      <x:c r="R8" s="59" t="n">
        <x:v>1996741539.950877</x:v>
      </x:c>
      <x:c r="S8" s="59" t="n">
        <x:f>AVERAGE(P8:R8)</x:f>
        <x:v>1865463048.766629</x:v>
      </x:c>
      <x:c r="T8" s="61" t="n">
        <x:v>3415.062667309312</x:v>
      </x:c>
      <x:c r="U8" s="61" t="n">
        <x:v>3608.966052349065</x:v>
      </x:c>
      <x:c r="V8" s="61" t="n">
        <x:v>3893.095713825062</x:v>
      </x:c>
      <x:c r="W8" s="61" t="n">
        <x:f>AVERAGE(T8:V8)</x:f>
        <x:v>3639.041477827813</x:v>
      </x:c>
      <x:c r="X8" s="57" t="n">
        <x:v>0</x:v>
      </x:c>
      <x:c r="Y8" s="57" t="n">
        <x:v>0</x:v>
      </x:c>
      <x:c r="Z8" s="57" t="n">
        <x:v>0</x:v>
      </x:c>
      <x:c r="AA8" s="57" t="n">
        <x:f>AVERAGE(X8:Z8)</x:f>
        <x:v>0</x:v>
      </x:c>
      <x:c r="AB8" s="57" t="n">
        <x:v>0</x:v>
      </x:c>
      <x:c r="AC8" s="57" t="n">
        <x:v>0</x:v>
      </x:c>
      <x:c r="AD8" s="57" t="n">
        <x:v>0</x:v>
      </x:c>
      <x:c r="AE8" s="57" t="n">
        <x:f>AVERAGE(AB8:AD8)</x:f>
        <x:v>0</x:v>
      </x:c>
      <x:c r="AF8" s="57" t="n">
        <x:v>8.69712510622088</x:v>
      </x:c>
      <x:c r="AG8" s="57" t="n">
        <x:v>9.38675264949474</x:v>
      </x:c>
      <x:c r="AH8" s="57" t="n">
        <x:v>11.6082269487291</x:v>
      </x:c>
      <x:c r="AI8" s="57" t="n">
        <x:f>AVERAGE(AF8:AH8)</x:f>
        <x:v>9.897368234814907</x:v>
      </x:c>
      <x:c r="AJ8" s="57" t="n">
        <x:f>SUM(X8,AB8,AF8)</x:f>
        <x:v>8.69712510622088</x:v>
      </x:c>
      <x:c r="AK8" s="57" t="n">
        <x:f>SUM(Y8,AC8,AG8)</x:f>
        <x:v>9.38675264949474</x:v>
      </x:c>
      <x:c r="AL8" s="57" t="n">
        <x:f>SUM(Z8,AD8,AH8)</x:f>
        <x:v>11.6082269487291</x:v>
      </x:c>
      <x:c r="AM8" s="57" t="n">
        <x:f>AVERAGE(AJ8:AL8)</x:f>
        <x:v>9.897368234814907</x:v>
      </x:c>
      <x:c r="AN8" s="35" t="str">
        <x:v>Original World Bank/WGI 2015-2017 data complete</x:v>
      </x:c>
      <x:c r="AO8" s="35" t="str">
        <x:v>World Bank WDI</x:v>
      </x:c>
      <x:c r="AP8" s="35" t="str">
        <x:v>World Bank WDI oil + gas + coal rents</x:v>
      </x:c>
      <x:c r="AQ8" s="35" t="str">
        <x:v>No</x:v>
      </x:c>
      <x:c r="AR8" s="35" t="n">
        <x:v>0</x:v>
      </x:c>
    </x:row>
    <x:row r="9">
      <x:c r="A9" s="54" t="str">
        <x:v>Cameroon</x:v>
      </x:c>
      <x:c r="B9" s="54" t="str">
        <x:v>喀麦隆</x:v>
      </x:c>
      <x:c r="C9" s="54" t="str">
        <x:v>CMR</x:v>
      </x:c>
      <x:c r="D9" s="54" t="str">
        <x:v>Balancing</x:v>
      </x:c>
      <x:c r="E9" s="54" t="str">
        <x:v>System-Deepening Archetype</x:v>
      </x:c>
      <x:c r="F9" s="54" t="str">
        <x:v>High stability</x:v>
      </x:c>
      <x:c r="G9" s="54"/>
      <x:c r="H9" s="57" t="n">
        <x:v>-0.6267228</x:v>
      </x:c>
      <x:c r="I9" s="57" t="n">
        <x:v>-0.6124980999999999</x:v>
      </x:c>
      <x:c r="J9" s="57" t="n">
        <x:v>-0.6251</x:v>
      </x:c>
      <x:c r="K9" s="57" t="n">
        <x:f>AVERAGE(H9:J9)</x:f>
        <x:v>-0.6214403</x:v>
      </x:c>
      <x:c r="L9" s="57" t="n">
        <x:v>-1.0831153</x:v>
      </x:c>
      <x:c r="M9" s="57" t="n">
        <x:v>-1.1424059</x:v>
      </x:c>
      <x:c r="N9" s="57" t="n">
        <x:v>-1.1934513</x:v>
      </x:c>
      <x:c r="O9" s="57" t="n">
        <x:f>AVERAGE(L9:N9)</x:f>
        <x:v>-1.1396575</x:v>
      </x:c>
      <x:c r="P9" s="59" t="n">
        <x:v>32210233020.45692</x:v>
      </x:c>
      <x:c r="Q9" s="59" t="n">
        <x:v>33814337044.37647</x:v>
      </x:c>
      <x:c r="R9" s="59" t="n">
        <x:v>36098547033.16547</x:v>
      </x:c>
      <x:c r="S9" s="59" t="n">
        <x:f>AVERAGE(P9:R9)</x:f>
        <x:v>34041039032.666286</x:v>
      </x:c>
      <x:c r="T9" s="61" t="n">
        <x:v>1415.000097105685</x:v>
      </x:c>
      <x:c r="U9" s="61" t="n">
        <x:v>1441.720172568802</x:v>
      </x:c>
      <x:c r="V9" s="61" t="n">
        <x:v>1496.089517712422</x:v>
      </x:c>
      <x:c r="W9" s="61" t="n">
        <x:f>AVERAGE(T9:V9)</x:f>
        <x:v>1450.9365957956363</x:v>
      </x:c>
      <x:c r="X9" s="57" t="n">
        <x:v>1.89664344480798</x:v>
      </x:c>
      <x:c r="Y9" s="57" t="n">
        <x:v>1.55546940126434</x:v>
      </x:c>
      <x:c r="Z9" s="57" t="n">
        <x:v>2.19707562839754</x:v>
      </x:c>
      <x:c r="AA9" s="57" t="n">
        <x:f>AVERAGE(X9:Z9)</x:f>
        <x:v>1.8830628248232868</x:v>
      </x:c>
      <x:c r="AB9" s="57" t="n">
        <x:v>0.109547491948903</x:v>
      </x:c>
      <x:c r="AC9" s="57" t="n">
        <x:v>0.075259562096555</x:v>
      </x:c>
      <x:c r="AD9" s="57" t="n">
        <x:v>0.0955529946977523</x:v>
      </x:c>
      <x:c r="AE9" s="57" t="n">
        <x:f>AVERAGE(AB9:AD9)</x:f>
        <x:v>0.0934533495810701</x:v>
      </x:c>
      <x:c r="AF9" s="57" t="n">
        <x:v>0</x:v>
      </x:c>
      <x:c r="AG9" s="57" t="n">
        <x:v>0</x:v>
      </x:c>
      <x:c r="AH9" s="57" t="n">
        <x:v>0</x:v>
      </x:c>
      <x:c r="AI9" s="57" t="n">
        <x:f>AVERAGE(AF9:AH9)</x:f>
        <x:v>0</x:v>
      </x:c>
      <x:c r="AJ9" s="57" t="n">
        <x:f>SUM(X9,AB9,AF9)</x:f>
        <x:v>2.006190936756883</x:v>
      </x:c>
      <x:c r="AK9" s="57" t="n">
        <x:f>SUM(Y9,AC9,AG9)</x:f>
        <x:v>1.630728963360895</x:v>
      </x:c>
      <x:c r="AL9" s="57" t="n">
        <x:f>SUM(Z9,AD9,AH9)</x:f>
        <x:v>2.2926286230952924</x:v>
      </x:c>
      <x:c r="AM9" s="57" t="n">
        <x:f>AVERAGE(AJ9:AL9)</x:f>
        <x:v>1.9765161744043567</x:v>
      </x:c>
      <x:c r="AN9" s="35" t="str">
        <x:v>Original World Bank/WGI 2015-2017 data complete</x:v>
      </x:c>
      <x:c r="AO9" s="35" t="str">
        <x:v>World Bank WDI</x:v>
      </x:c>
      <x:c r="AP9" s="35" t="str">
        <x:v>World Bank WDI oil + gas + coal rents</x:v>
      </x:c>
      <x:c r="AQ9" s="35" t="str">
        <x:v>No</x:v>
      </x:c>
      <x:c r="AR9" s="35" t="n">
        <x:v>0</x:v>
      </x:c>
    </x:row>
    <x:row r="10">
      <x:c r="A10" s="54" t="str">
        <x:v>Central African Republic</x:v>
      </x:c>
      <x:c r="B10" s="54" t="str">
        <x:v>中非共和国</x:v>
      </x:c>
      <x:c r="C10" s="54" t="str">
        <x:v>CAF</x:v>
      </x:c>
      <x:c r="D10" s="54" t="str">
        <x:v>Lagging</x:v>
      </x:c>
      <x:c r="E10" s="54" t="str">
        <x:v>Transition-Constrained Archetype</x:v>
      </x:c>
      <x:c r="F10" s="54" t="str">
        <x:v>High stability</x:v>
      </x:c>
      <x:c r="G10" s="54"/>
      <x:c r="H10" s="57" t="n">
        <x:v>-1.6179467</x:v>
      </x:c>
      <x:c r="I10" s="57" t="n">
        <x:v>-1.5617326</x:v>
      </x:c>
      <x:c r="J10" s="57" t="n">
        <x:v>-1.5629538</x:v>
      </x:c>
      <x:c r="K10" s="57" t="n">
        <x:f>AVERAGE(H10:J10)</x:f>
        <x:v>-1.5808777</x:v>
      </x:c>
      <x:c r="L10" s="57" t="n">
        <x:v>-1.8904664</x:v>
      </x:c>
      <x:c r="M10" s="57" t="n">
        <x:v>-1.698431</x:v>
      </x:c>
      <x:c r="N10" s="57" t="n">
        <x:v>-1.8265104</x:v>
      </x:c>
      <x:c r="O10" s="57" t="n">
        <x:f>AVERAGE(L10:N10)</x:f>
        <x:v>-1.8051359333333334</x:v>
      </x:c>
      <x:c r="P10" s="59" t="n">
        <x:v>1695825714.192821</x:v>
      </x:c>
      <x:c r="Q10" s="59" t="n">
        <x:v>1825018144.655953</x:v>
      </x:c>
      <x:c r="R10" s="59" t="n">
        <x:v>2072349972.681795</x:v>
      </x:c>
      <x:c r="S10" s="59" t="n">
        <x:f>AVERAGE(P10:R10)</x:f>
        <x:v>1864397943.843523</x:v>
      </x:c>
      <x:c r="T10" s="61" t="n">
        <x:v>366.3228539381206</x:v>
      </x:c>
      <x:c r="U10" s="61" t="n">
        <x:v>387.1762034443178</x:v>
      </x:c>
      <x:c r="V10" s="61" t="n">
        <x:v>432.3240256842626</x:v>
      </x:c>
      <x:c r="W10" s="61" t="n">
        <x:f>AVERAGE(T10:V10)</x:f>
        <x:v>395.2743610222337</x:v>
      </x:c>
      <x:c r="X10" s="57" t="n">
        <x:v>0</x:v>
      </x:c>
      <x:c r="Y10" s="57" t="n">
        <x:v>0</x:v>
      </x:c>
      <x:c r="Z10" s="57" t="n">
        <x:v>0</x:v>
      </x:c>
      <x:c r="AA10" s="57" t="n">
        <x:f>AVERAGE(X10:Z10)</x:f>
        <x:v>0</x:v>
      </x:c>
      <x:c r="AB10" s="57" t="n">
        <x:v>0</x:v>
      </x:c>
      <x:c r="AC10" s="57" t="n">
        <x:v>0</x:v>
      </x:c>
      <x:c r="AD10" s="57" t="n">
        <x:v>0</x:v>
      </x:c>
      <x:c r="AE10" s="57" t="n">
        <x:f>AVERAGE(AB10:AD10)</x:f>
        <x:v>0</x:v>
      </x:c>
      <x:c r="AF10" s="57" t="n">
        <x:v>0</x:v>
      </x:c>
      <x:c r="AG10" s="57" t="n">
        <x:v>0</x:v>
      </x:c>
      <x:c r="AH10" s="57" t="n">
        <x:v>0</x:v>
      </x:c>
      <x:c r="AI10" s="57" t="n">
        <x:f>AVERAGE(AF10:AH10)</x:f>
        <x:v>0</x:v>
      </x:c>
      <x:c r="AJ10" s="57" t="n">
        <x:f>SUM(X10,AB10,AF10)</x:f>
        <x:v>0</x:v>
      </x:c>
      <x:c r="AK10" s="57" t="n">
        <x:f>SUM(Y10,AC10,AG10)</x:f>
        <x:v>0</x:v>
      </x:c>
      <x:c r="AL10" s="57" t="n">
        <x:f>SUM(Z10,AD10,AH10)</x:f>
        <x:v>0</x:v>
      </x:c>
      <x:c r="AM10" s="57" t="n">
        <x:f>AVERAGE(AJ10:AL10)</x:f>
        <x:v>0</x:v>
      </x:c>
      <x:c r="AN10" s="35" t="str">
        <x:v>Original World Bank/WGI 2015-2017 data complete</x:v>
      </x:c>
      <x:c r="AO10" s="35" t="str">
        <x:v>World Bank WDI</x:v>
      </x:c>
      <x:c r="AP10" s="35" t="str">
        <x:v>World Bank WDI oil + gas + coal rents</x:v>
      </x:c>
      <x:c r="AQ10" s="35" t="str">
        <x:v>No</x:v>
      </x:c>
      <x:c r="AR10" s="35" t="n">
        <x:v>0</x:v>
      </x:c>
    </x:row>
    <x:row r="11">
      <x:c r="A11" s="54" t="str">
        <x:v>Chad</x:v>
      </x:c>
      <x:c r="B11" s="54" t="str">
        <x:v>乍得</x:v>
      </x:c>
      <x:c r="C11" s="54" t="str">
        <x:v>TCD</x:v>
      </x:c>
      <x:c r="D11" s="54" t="str">
        <x:v>Lagging</x:v>
      </x:c>
      <x:c r="E11" s="54" t="str">
        <x:v>Transition-Constrained Archetype</x:v>
      </x:c>
      <x:c r="F11" s="54" t="str">
        <x:v>High stability</x:v>
      </x:c>
      <x:c r="G11" s="54"/>
      <x:c r="H11" s="57" t="n">
        <x:v>-1.232359</x:v>
      </x:c>
      <x:c r="I11" s="57" t="n">
        <x:v>-1.1872693</x:v>
      </x:c>
      <x:c r="J11" s="57" t="n">
        <x:v>-1.10043</x:v>
      </x:c>
      <x:c r="K11" s="57" t="n">
        <x:f>AVERAGE(H11:J11)</x:f>
        <x:v>-1.1733527666666668</x:v>
      </x:c>
      <x:c r="L11" s="57" t="n">
        <x:v>-1.1227573</x:v>
      </x:c>
      <x:c r="M11" s="57" t="n">
        <x:v>-1.3417072</x:v>
      </x:c>
      <x:c r="N11" s="57" t="n">
        <x:v>-1.3677159</x:v>
      </x:c>
      <x:c r="O11" s="57" t="n">
        <x:f>AVERAGE(L11:N11)</x:f>
        <x:v>-1.2773934666666669</x:v>
      </x:c>
      <x:c r="P11" s="59" t="n">
        <x:v>14559599499.50111</x:v>
      </x:c>
      <x:c r="Q11" s="59" t="n">
        <x:v>13026289835.77889</x:v>
      </x:c>
      <x:c r="R11" s="59" t="n">
        <x:v>13349041408.71522</x:v>
      </x:c>
      <x:c r="S11" s="59" t="n">
        <x:f>AVERAGE(P11:R11)</x:f>
        <x:v>13644976914.665071</x:v>
      </x:c>
      <x:c r="T11" s="61" t="n">
        <x:v>993.9907306108692</x:v>
      </x:c>
      <x:c r="U11" s="61" t="n">
        <x:v>861.8317676307461</x:v>
      </x:c>
      <x:c r="V11" s="61" t="n">
        <x:v>854.4612004009803</x:v>
      </x:c>
      <x:c r="W11" s="61" t="n">
        <x:f>AVERAGE(T11:V11)</x:f>
        <x:v>903.4278995475319</x:v>
      </x:c>
      <x:c r="X11" s="57" t="n">
        <x:v>6.2969962979888</x:v>
      </x:c>
      <x:c r="Y11" s="57" t="n">
        <x:v>6.59687876223435</x:v>
      </x:c>
      <x:c r="Z11" s="57" t="n">
        <x:v>10.2750096848343</x:v>
      </x:c>
      <x:c r="AA11" s="57" t="n">
        <x:f>AVERAGE(X11:Z11)</x:f>
        <x:v>7.722961581685816</x:v>
      </x:c>
      <x:c r="AB11" s="57" t="n">
        <x:v>0</x:v>
      </x:c>
      <x:c r="AC11" s="57" t="n">
        <x:v>0</x:v>
      </x:c>
      <x:c r="AD11" s="57" t="n">
        <x:v>0</x:v>
      </x:c>
      <x:c r="AE11" s="57" t="n">
        <x:f>AVERAGE(AB11:AD11)</x:f>
        <x:v>0</x:v>
      </x:c>
      <x:c r="AF11" s="57" t="n">
        <x:v>0</x:v>
      </x:c>
      <x:c r="AG11" s="57" t="n">
        <x:v>0</x:v>
      </x:c>
      <x:c r="AH11" s="57" t="n">
        <x:v>0</x:v>
      </x:c>
      <x:c r="AI11" s="57" t="n">
        <x:f>AVERAGE(AF11:AH11)</x:f>
        <x:v>0</x:v>
      </x:c>
      <x:c r="AJ11" s="57" t="n">
        <x:f>SUM(X11,AB11,AF11)</x:f>
        <x:v>6.2969962979888</x:v>
      </x:c>
      <x:c r="AK11" s="57" t="n">
        <x:f>SUM(Y11,AC11,AG11)</x:f>
        <x:v>6.59687876223435</x:v>
      </x:c>
      <x:c r="AL11" s="57" t="n">
        <x:f>SUM(Z11,AD11,AH11)</x:f>
        <x:v>10.2750096848343</x:v>
      </x:c>
      <x:c r="AM11" s="57" t="n">
        <x:f>AVERAGE(AJ11:AL11)</x:f>
        <x:v>7.722961581685816</x:v>
      </x:c>
      <x:c r="AN11" s="35" t="str">
        <x:v>Original World Bank/WGI 2015-2017 data complete</x:v>
      </x:c>
      <x:c r="AO11" s="35" t="str">
        <x:v>World Bank WDI</x:v>
      </x:c>
      <x:c r="AP11" s="35" t="str">
        <x:v>World Bank WDI oil + gas + coal rents</x:v>
      </x:c>
      <x:c r="AQ11" s="35" t="str">
        <x:v>No</x:v>
      </x:c>
      <x:c r="AR11" s="35" t="n">
        <x:v>0</x:v>
      </x:c>
    </x:row>
    <x:row r="12">
      <x:c r="A12" s="54" t="str">
        <x:v>Comoros</x:v>
      </x:c>
      <x:c r="B12" s="54" t="str">
        <x:v>科摩罗</x:v>
      </x:c>
      <x:c r="C12" s="54" t="str">
        <x:v>COM</x:v>
      </x:c>
      <x:c r="D12" s="54" t="str">
        <x:v>Lagging</x:v>
      </x:c>
      <x:c r="E12" s="54" t="str">
        <x:v>Transition-Constrained Archetype</x:v>
      </x:c>
      <x:c r="F12" s="54" t="str">
        <x:v>High stability</x:v>
      </x:c>
      <x:c r="G12" s="54"/>
      <x:c r="H12" s="57" t="n">
        <x:v>-1.4105773</x:v>
      </x:c>
      <x:c r="I12" s="57" t="n">
        <x:v>-1.3535015</x:v>
      </x:c>
      <x:c r="J12" s="57" t="n">
        <x:v>-1.2955426</x:v>
      </x:c>
      <x:c r="K12" s="57" t="n">
        <x:f>AVERAGE(H12:J12)</x:f>
        <x:v>-1.3532071333333333</x:v>
      </x:c>
      <x:c r="L12" s="57" t="n">
        <x:v>-0.09667819999999999</x:v>
      </x:c>
      <x:c r="M12" s="57" t="n">
        <x:v>-0.2599683</x:v>
      </x:c>
      <x:c r="N12" s="57" t="n">
        <x:v>-0.1999982</x:v>
      </x:c>
      <x:c r="O12" s="57" t="n">
        <x:f>AVERAGE(L12:N12)</x:f>
        <x:v>-0.18554823333333334</x:v>
      </x:c>
      <x:c r="P12" s="59" t="n">
        <x:v>966029600.8622274</x:v>
      </x:c>
      <x:c r="Q12" s="59" t="n">
        <x:v>1012835493.193246</x:v>
      </x:c>
      <x:c r="R12" s="59" t="n">
        <x:v>1077439756.594511</x:v>
      </x:c>
      <x:c r="S12" s="59" t="n">
        <x:f>AVERAGE(P12:R12)</x:f>
        <x:v>1018768283.5499948</x:v>
      </x:c>
      <x:c r="T12" s="61" t="n">
        <x:v>1329.37048235986</x:v>
      </x:c>
      <x:c r="U12" s="61" t="n">
        <x:v>1365.484034444969</x:v>
      </x:c>
      <x:c r="V12" s="61" t="n">
        <x:v>1423.924802779698</x:v>
      </x:c>
      <x:c r="W12" s="61" t="n">
        <x:f>AVERAGE(T12:V12)</x:f>
        <x:v>1372.926439861509</x:v>
      </x:c>
      <x:c r="X12" s="57" t="n">
        <x:v>0</x:v>
      </x:c>
      <x:c r="Y12" s="57" t="n">
        <x:v>0</x:v>
      </x:c>
      <x:c r="Z12" s="57" t="n">
        <x:v>0</x:v>
      </x:c>
      <x:c r="AA12" s="57" t="n">
        <x:f>AVERAGE(X12:Z12)</x:f>
        <x:v>0</x:v>
      </x:c>
      <x:c r="AB12" s="57" t="n">
        <x:v>0</x:v>
      </x:c>
      <x:c r="AC12" s="57" t="n">
        <x:v>0</x:v>
      </x:c>
      <x:c r="AD12" s="57" t="n">
        <x:v>0</x:v>
      </x:c>
      <x:c r="AE12" s="57" t="n">
        <x:f>AVERAGE(AB12:AD12)</x:f>
        <x:v>0</x:v>
      </x:c>
      <x:c r="AF12" s="57" t="n">
        <x:v>0</x:v>
      </x:c>
      <x:c r="AG12" s="57" t="n">
        <x:v>0</x:v>
      </x:c>
      <x:c r="AH12" s="57" t="n">
        <x:v>0</x:v>
      </x:c>
      <x:c r="AI12" s="57" t="n">
        <x:f>AVERAGE(AF12:AH12)</x:f>
        <x:v>0</x:v>
      </x:c>
      <x:c r="AJ12" s="57" t="n">
        <x:f>SUM(X12,AB12,AF12)</x:f>
        <x:v>0</x:v>
      </x:c>
      <x:c r="AK12" s="57" t="n">
        <x:f>SUM(Y12,AC12,AG12)</x:f>
        <x:v>0</x:v>
      </x:c>
      <x:c r="AL12" s="57" t="n">
        <x:f>SUM(Z12,AD12,AH12)</x:f>
        <x:v>0</x:v>
      </x:c>
      <x:c r="AM12" s="57" t="n">
        <x:f>AVERAGE(AJ12:AL12)</x:f>
        <x:v>0</x:v>
      </x:c>
      <x:c r="AN12" s="35" t="str">
        <x:v>Original World Bank/WGI 2015-2017 data complete</x:v>
      </x:c>
      <x:c r="AO12" s="35" t="str">
        <x:v>World Bank WDI</x:v>
      </x:c>
      <x:c r="AP12" s="35" t="str">
        <x:v>World Bank WDI oil + gas + coal rents</x:v>
      </x:c>
      <x:c r="AQ12" s="35" t="str">
        <x:v>No</x:v>
      </x:c>
      <x:c r="AR12" s="35" t="n">
        <x:v>0</x:v>
      </x:c>
    </x:row>
    <x:row r="13">
      <x:c r="A13" s="54" t="str">
        <x:v>Democratic Republic of the Congo</x:v>
      </x:c>
      <x:c r="B13" s="54" t="str">
        <x:v>刚果（金）</x:v>
      </x:c>
      <x:c r="C13" s="54" t="str">
        <x:v>COD</x:v>
      </x:c>
      <x:c r="D13" s="54" t="str">
        <x:v>Lagging</x:v>
      </x:c>
      <x:c r="E13" s="54" t="str">
        <x:v>Transition-Constrained Archetype</x:v>
      </x:c>
      <x:c r="F13" s="54" t="str">
        <x:v>Moderate stability</x:v>
      </x:c>
      <x:c r="G13" s="54"/>
      <x:c r="H13" s="57" t="n">
        <x:v>-1.4727107</x:v>
      </x:c>
      <x:c r="I13" s="57" t="n">
        <x:v>-1.3846284</x:v>
      </x:c>
      <x:c r="J13" s="57" t="n">
        <x:v>-1.4588281</x:v>
      </x:c>
      <x:c r="K13" s="57" t="n">
        <x:f>AVERAGE(H13:J13)</x:f>
        <x:v>-1.4387223999999998</x:v>
      </x:c>
      <x:c r="L13" s="57" t="n">
        <x:v>-2.0107422</x:v>
      </x:c>
      <x:c r="M13" s="57" t="n">
        <x:v>-2.2189353</x:v>
      </x:c>
      <x:c r="N13" s="57" t="n">
        <x:v>-2.2633784</x:v>
      </x:c>
      <x:c r="O13" s="57" t="n">
        <x:f>AVERAGE(L13:N13)</x:f>
        <x:v>-2.1643519666666666</x:v>
      </x:c>
      <x:c r="P13" s="59" t="n">
        <x:v>40179574490.3032</x:v>
      </x:c>
      <x:c r="Q13" s="59" t="n">
        <x:v>38600224214.47277</x:v>
      </x:c>
      <x:c r="R13" s="59" t="n">
        <x:v>37537521565.53078</x:v>
      </x:c>
      <x:c r="S13" s="59" t="n">
        <x:f>AVERAGE(P13:R13)</x:f>
        <x:v>38772440090.10225</x:v>
      </x:c>
      <x:c r="T13" s="61" t="n">
        <x:v>495.8266330148833</x:v>
      </x:c>
      <x:c r="U13" s="61" t="n">
        <x:v>459.7650365903876</x:v>
      </x:c>
      <x:c r="V13" s="61" t="n">
        <x:v>431.0525591287881</x:v>
      </x:c>
      <x:c r="W13" s="61" t="n">
        <x:f>AVERAGE(T13:V13)</x:f>
        <x:v>462.21474291135297</x:v>
      </x:c>
      <x:c r="X13" s="57" t="n">
        <x:v>0.345534121829134</x:v>
      </x:c>
      <x:c r="Y13" s="57" t="n">
        <x:v>0.306678110044986</x:v>
      </x:c>
      <x:c r="Z13" s="57" t="n">
        <x:v>0.659902410781335</x:v>
      </x:c>
      <x:c r="AA13" s="57" t="n">
        <x:f>AVERAGE(X13:Z13)</x:f>
        <x:v>0.43737154755181834</x:v>
      </x:c>
      <x:c r="AB13" s="57" t="n">
        <x:v>0.00021856597277561</x:v>
      </x:c>
      <x:c r="AC13" s="57" t="n">
        <x:v>0.0000459100664006211</x:v>
      </x:c>
      <x:c r="AD13" s="57" t="n">
        <x:v>0.0000485414901302104</x:v>
      </x:c>
      <x:c r="AE13" s="57" t="n">
        <x:f>AVERAGE(AB13:AD13)</x:f>
        <x:v>0.00010433917643548049</x:v>
      </x:c>
      <x:c r="AF13" s="57" t="n">
        <x:v>0</x:v>
      </x:c>
      <x:c r="AG13" s="57" t="n">
        <x:v>0</x:v>
      </x:c>
      <x:c r="AH13" s="57" t="n">
        <x:v>0</x:v>
      </x:c>
      <x:c r="AI13" s="57" t="n">
        <x:f>AVERAGE(AF13:AH13)</x:f>
        <x:v>0</x:v>
      </x:c>
      <x:c r="AJ13" s="57" t="n">
        <x:f>SUM(X13,AB13,AF13)</x:f>
        <x:v>0.3457526878019096</x:v>
      </x:c>
      <x:c r="AK13" s="57" t="n">
        <x:f>SUM(Y13,AC13,AG13)</x:f>
        <x:v>0.30672402011138666</x:v>
      </x:c>
      <x:c r="AL13" s="57" t="n">
        <x:f>SUM(Z13,AD13,AH13)</x:f>
        <x:v>0.6599509522714653</x:v>
      </x:c>
      <x:c r="AM13" s="57" t="n">
        <x:f>AVERAGE(AJ13:AL13)</x:f>
        <x:v>0.4374758867282538</x:v>
      </x:c>
      <x:c r="AN13" s="35" t="str">
        <x:v>Original World Bank/WGI 2015-2017 data complete</x:v>
      </x:c>
      <x:c r="AO13" s="35" t="str">
        <x:v>World Bank WDI</x:v>
      </x:c>
      <x:c r="AP13" s="35" t="str">
        <x:v>World Bank WDI oil + gas + coal rents</x:v>
      </x:c>
      <x:c r="AQ13" s="35" t="str">
        <x:v>No</x:v>
      </x:c>
      <x:c r="AR13" s="35" t="n">
        <x:v>0</x:v>
      </x:c>
    </x:row>
    <x:row r="14">
      <x:c r="A14" s="54" t="str">
        <x:v>Republic of the Congo</x:v>
      </x:c>
      <x:c r="B14" s="54" t="str">
        <x:v>刚果（布）</x:v>
      </x:c>
      <x:c r="C14" s="54" t="str">
        <x:v>COG</x:v>
      </x:c>
      <x:c r="D14" s="54" t="str">
        <x:v>Lagging</x:v>
      </x:c>
      <x:c r="E14" s="54" t="str">
        <x:v>Transition-Constrained Archetype</x:v>
      </x:c>
      <x:c r="F14" s="54" t="str">
        <x:v>High stability</x:v>
      </x:c>
      <x:c r="G14" s="54"/>
      <x:c r="H14" s="57" t="n">
        <x:v>-0.8351827</x:v>
      </x:c>
      <x:c r="I14" s="57" t="n">
        <x:v>-0.8123243</x:v>
      </x:c>
      <x:c r="J14" s="57" t="n">
        <x:v>-0.8685556</x:v>
      </x:c>
      <x:c r="K14" s="57" t="n">
        <x:f>AVERAGE(H14:J14)</x:f>
        <x:v>-0.8386875333333333</x:v>
      </x:c>
      <x:c r="L14" s="57" t="n">
        <x:v>-0.7582165</x:v>
      </x:c>
      <x:c r="M14" s="57" t="n">
        <x:v>-0.760806</x:v>
      </x:c>
      <x:c r="N14" s="57" t="n">
        <x:v>-0.7695685</x:v>
      </x:c>
      <x:c r="O14" s="57" t="n">
        <x:f>AVERAGE(L14:N14)</x:f>
        <x:v>-0.7628636666666666</x:v>
      </x:c>
      <x:c r="P14" s="59" t="n">
        <x:v>12434793867.3568</x:v>
      </x:c>
      <x:c r="Q14" s="59" t="n">
        <x:v>10931328150.84785</x:v>
      </x:c>
      <x:c r="R14" s="59" t="n">
        <x:v>11834473039.36448</x:v>
      </x:c>
      <x:c r="S14" s="59" t="n">
        <x:f>AVERAGE(P14:R14)</x:f>
        <x:v>11733531685.856377</x:v>
      </x:c>
      <x:c r="T14" s="61" t="n">
        <x:v>2439.351894036956</x:v>
      </x:c>
      <x:c r="U14" s="61" t="n">
        <x:v>2093.107285588428</x:v>
      </x:c>
      <x:c r="V14" s="61" t="n">
        <x:v>2211.633098747971</x:v>
      </x:c>
      <x:c r="W14" s="61" t="n">
        <x:f>AVERAGE(T14:V14)</x:f>
        <x:v>2248.030759457785</x:v>
      </x:c>
      <x:c r="X14" s="57" t="n">
        <x:v>12.2746700668843</x:v>
      </x:c>
      <x:c r="Y14" s="57" t="n">
        <x:v>12.8004971968497</x:v>
      </x:c>
      <x:c r="Z14" s="57" t="n">
        <x:v>25.0227768251894</x:v>
      </x:c>
      <x:c r="AA14" s="57" t="n">
        <x:f>AVERAGE(X14:Z14)</x:f>
        <x:v>16.6993146963078</x:v>
      </x:c>
      <x:c r="AB14" s="57" t="n">
        <x:v>0.529950921594635</x:v>
      </x:c>
      <x:c r="AC14" s="57" t="n">
        <x:v>0.388986974310453</x:v>
      </x:c>
      <x:c r="AD14" s="57" t="n">
        <x:v>0.435295524625467</x:v>
      </x:c>
      <x:c r="AE14" s="57" t="n">
        <x:f>AVERAGE(AB14:AD14)</x:f>
        <x:v>0.4514111401768517</x:v>
      </x:c>
      <x:c r="AF14" s="57" t="n">
        <x:v>0</x:v>
      </x:c>
      <x:c r="AG14" s="57" t="n">
        <x:v>0</x:v>
      </x:c>
      <x:c r="AH14" s="57" t="n">
        <x:v>0</x:v>
      </x:c>
      <x:c r="AI14" s="57" t="n">
        <x:f>AVERAGE(AF14:AH14)</x:f>
        <x:v>0</x:v>
      </x:c>
      <x:c r="AJ14" s="57" t="n">
        <x:f>SUM(X14,AB14,AF14)</x:f>
        <x:v>12.804620988478934</x:v>
      </x:c>
      <x:c r="AK14" s="57" t="n">
        <x:f>SUM(Y14,AC14,AG14)</x:f>
        <x:v>13.189484171160153</x:v>
      </x:c>
      <x:c r="AL14" s="57" t="n">
        <x:f>SUM(Z14,AD14,AH14)</x:f>
        <x:v>25.458072349814866</x:v>
      </x:c>
      <x:c r="AM14" s="57" t="n">
        <x:f>AVERAGE(AJ14:AL14)</x:f>
        <x:v>17.15072583648465</x:v>
      </x:c>
      <x:c r="AN14" s="35" t="str">
        <x:v>Original World Bank/WGI 2015-2017 data complete</x:v>
      </x:c>
      <x:c r="AO14" s="35" t="str">
        <x:v>World Bank WDI</x:v>
      </x:c>
      <x:c r="AP14" s="35" t="str">
        <x:v>World Bank WDI oil + gas + coal rents</x:v>
      </x:c>
      <x:c r="AQ14" s="35" t="str">
        <x:v>No</x:v>
      </x:c>
      <x:c r="AR14" s="35" t="n">
        <x:v>0</x:v>
      </x:c>
    </x:row>
    <x:row r="15">
      <x:c r="A15" s="54" t="str">
        <x:v>Côte d'Ivoire</x:v>
      </x:c>
      <x:c r="B15" s="54" t="str">
        <x:v>科特迪瓦</x:v>
      </x:c>
      <x:c r="C15" s="54" t="str">
        <x:v>CIV</x:v>
      </x:c>
      <x:c r="D15" s="54" t="str">
        <x:v>Balancing</x:v>
      </x:c>
      <x:c r="E15" s="54" t="str">
        <x:v>System-Deepening Archetype</x:v>
      </x:c>
      <x:c r="F15" s="54" t="str">
        <x:v>High stability</x:v>
      </x:c>
      <x:c r="G15" s="54"/>
      <x:c r="H15" s="57" t="n">
        <x:v>-0.5999604</x:v>
      </x:c>
      <x:c r="I15" s="57" t="n">
        <x:v>-0.6103531999999999</x:v>
      </x:c>
      <x:c r="J15" s="57" t="n">
        <x:v>-0.5958625</x:v>
      </x:c>
      <x:c r="K15" s="57" t="n">
        <x:f>AVERAGE(H15:J15)</x:f>
        <x:v>-0.6020587</x:v>
      </x:c>
      <x:c r="L15" s="57" t="n">
        <x:v>-0.7838544</x:v>
      </x:c>
      <x:c r="M15" s="57" t="n">
        <x:v>-0.8652379</x:v>
      </x:c>
      <x:c r="N15" s="57" t="n">
        <x:v>-1.0411412</x:v>
      </x:c>
      <x:c r="O15" s="57" t="n">
        <x:f>AVERAGE(L15:N15)</x:f>
        <x:v>-0.8967444999999999</x:v>
      </x:c>
      <x:c r="P15" s="59" t="n">
        <x:v>45815005169.26511</x:v>
      </x:c>
      <x:c r="Q15" s="59" t="n">
        <x:v>48407761036.82379</x:v>
      </x:c>
      <x:c r="R15" s="59" t="n">
        <x:v>52512343996.68996</x:v>
      </x:c>
      <x:c r="S15" s="59" t="n">
        <x:f>AVERAGE(P15:R15)</x:f>
        <x:v>48911703400.92629</x:v>
      </x:c>
      <x:c r="T15" s="61" t="n">
        <x:v>1814.718550880167</x:v>
      </x:c>
      <x:c r="U15" s="61" t="n">
        <x:v>1862.595970812868</x:v>
      </x:c>
      <x:c r="V15" s="61" t="n">
        <x:v>1964.299303383425</x:v>
      </x:c>
      <x:c r="W15" s="61" t="n">
        <x:f>AVERAGE(T15:V15)</x:f>
        <x:v>1880.5379416921533</x:v>
      </x:c>
      <x:c r="X15" s="57" t="n">
        <x:v>0.366602851194199</x:v>
      </x:c>
      <x:c r="Y15" s="57" t="n">
        <x:v>0.384370728252087</x:v>
      </x:c>
      <x:c r="Z15" s="57" t="n">
        <x:v>0.811412807702894</x:v>
      </x:c>
      <x:c r="AA15" s="57" t="n">
        <x:f>AVERAGE(X15:Z15)</x:f>
        <x:v>0.52079546238306</x:v>
      </x:c>
      <x:c r="AB15" s="57" t="n">
        <x:v>0.261322774444977</x:v>
      </x:c>
      <x:c r="AC15" s="57" t="n">
        <x:v>0.178681873738581</x:v>
      </x:c>
      <x:c r="AD15" s="57" t="n">
        <x:v>0.186969561218541</x:v>
      </x:c>
      <x:c r="AE15" s="57" t="n">
        <x:f>AVERAGE(AB15:AD15)</x:f>
        <x:v>0.208991403134033</x:v>
      </x:c>
      <x:c r="AF15" s="57" t="n">
        <x:v>0</x:v>
      </x:c>
      <x:c r="AG15" s="57" t="n">
        <x:v>0</x:v>
      </x:c>
      <x:c r="AH15" s="57" t="n">
        <x:v>0</x:v>
      </x:c>
      <x:c r="AI15" s="57" t="n">
        <x:f>AVERAGE(AF15:AH15)</x:f>
        <x:v>0</x:v>
      </x:c>
      <x:c r="AJ15" s="57" t="n">
        <x:f>SUM(X15,AB15,AF15)</x:f>
        <x:v>0.627925625639176</x:v>
      </x:c>
      <x:c r="AK15" s="57" t="n">
        <x:f>SUM(Y15,AC15,AG15)</x:f>
        <x:v>0.563052601990668</x:v>
      </x:c>
      <x:c r="AL15" s="57" t="n">
        <x:f>SUM(Z15,AD15,AH15)</x:f>
        <x:v>0.9983823689214351</x:v>
      </x:c>
      <x:c r="AM15" s="57" t="n">
        <x:f>AVERAGE(AJ15:AL15)</x:f>
        <x:v>0.729786865517093</x:v>
      </x:c>
      <x:c r="AN15" s="35" t="str">
        <x:v>Original World Bank/WGI 2015-2017 data complete</x:v>
      </x:c>
      <x:c r="AO15" s="35" t="str">
        <x:v>World Bank WDI</x:v>
      </x:c>
      <x:c r="AP15" s="35" t="str">
        <x:v>World Bank WDI oil + gas + coal rents</x:v>
      </x:c>
      <x:c r="AQ15" s="35" t="str">
        <x:v>No</x:v>
      </x:c>
      <x:c r="AR15" s="35" t="n">
        <x:v>0</x:v>
      </x:c>
    </x:row>
    <x:row r="16">
      <x:c r="A16" s="54" t="str">
        <x:v>Djibouti</x:v>
      </x:c>
      <x:c r="B16" s="54" t="str">
        <x:v>吉布提</x:v>
      </x:c>
      <x:c r="C16" s="54" t="str">
        <x:v>DJI</x:v>
      </x:c>
      <x:c r="D16" s="54" t="str">
        <x:v>Balancing</x:v>
      </x:c>
      <x:c r="E16" s="54" t="str">
        <x:v>System-Deepening Archetype</x:v>
      </x:c>
      <x:c r="F16" s="54" t="str">
        <x:v>High stability</x:v>
      </x:c>
      <x:c r="G16" s="54"/>
      <x:c r="H16" s="57" t="n">
        <x:v>-0.7524266</x:v>
      </x:c>
      <x:c r="I16" s="57" t="n">
        <x:v>-0.7128753999999999</x:v>
      </x:c>
      <x:c r="J16" s="57" t="n">
        <x:v>-0.7792344999999999</x:v>
      </x:c>
      <x:c r="K16" s="57" t="n">
        <x:f>AVERAGE(H16:J16)</x:f>
        <x:v>-0.7481788333333332</x:v>
      </x:c>
      <x:c r="L16" s="57" t="n">
        <x:v>-0.4931801</x:v>
      </x:c>
      <x:c r="M16" s="57" t="n">
        <x:v>-0.7074408</x:v>
      </x:c>
      <x:c r="N16" s="57" t="n">
        <x:v>-0.7552217</x:v>
      </x:c>
      <x:c r="O16" s="57" t="n">
        <x:f>AVERAGE(L16:N16)</x:f>
        <x:v>-0.6519475333333333</x:v>
      </x:c>
      <x:c r="P16" s="59" t="n">
        <x:v>2424391785.438974</x:v>
      </x:c>
      <x:c r="Q16" s="59" t="n">
        <x:v>2604955228.701166</x:v>
      </x:c>
      <x:c r="R16" s="59" t="n">
        <x:v>2762581334.226119</x:v>
      </x:c>
      <x:c r="S16" s="59" t="n">
        <x:f>AVERAGE(P16:R16)</x:f>
        <x:v>2597309449.45542</x:v>
      </x:c>
      <x:c r="T16" s="61" t="n">
        <x:v>2376.125547198727</x:v>
      </x:c>
      <x:c r="U16" s="61" t="n">
        <x:v>2510.430007624096</x:v>
      </x:c>
      <x:c r="V16" s="61" t="n">
        <x:v>2618.95521147369</x:v>
      </x:c>
      <x:c r="W16" s="61" t="n">
        <x:f>AVERAGE(T16:V16)</x:f>
        <x:v>2501.8369220988375</x:v>
      </x:c>
      <x:c r="X16" s="57" t="n">
        <x:v>0</x:v>
      </x:c>
      <x:c r="Y16" s="57" t="n">
        <x:v>0</x:v>
      </x:c>
      <x:c r="Z16" s="57" t="n">
        <x:v>0</x:v>
      </x:c>
      <x:c r="AA16" s="57" t="n">
        <x:f>AVERAGE(X16:Z16)</x:f>
        <x:v>0</x:v>
      </x:c>
      <x:c r="AB16" s="57" t="n">
        <x:v>0</x:v>
      </x:c>
      <x:c r="AC16" s="57" t="n">
        <x:v>0</x:v>
      </x:c>
      <x:c r="AD16" s="57" t="n">
        <x:v>0</x:v>
      </x:c>
      <x:c r="AE16" s="57" t="n">
        <x:f>AVERAGE(AB16:AD16)</x:f>
        <x:v>0</x:v>
      </x:c>
      <x:c r="AF16" s="57" t="n">
        <x:v>0</x:v>
      </x:c>
      <x:c r="AG16" s="57" t="n">
        <x:v>0</x:v>
      </x:c>
      <x:c r="AH16" s="57" t="n">
        <x:v>0</x:v>
      </x:c>
      <x:c r="AI16" s="57" t="n">
        <x:f>AVERAGE(AF16:AH16)</x:f>
        <x:v>0</x:v>
      </x:c>
      <x:c r="AJ16" s="57" t="n">
        <x:f>SUM(X16,AB16,AF16)</x:f>
        <x:v>0</x:v>
      </x:c>
      <x:c r="AK16" s="57" t="n">
        <x:f>SUM(Y16,AC16,AG16)</x:f>
        <x:v>0</x:v>
      </x:c>
      <x:c r="AL16" s="57" t="n">
        <x:f>SUM(Z16,AD16,AH16)</x:f>
        <x:v>0</x:v>
      </x:c>
      <x:c r="AM16" s="57" t="n">
        <x:f>AVERAGE(AJ16:AL16)</x:f>
        <x:v>0</x:v>
      </x:c>
      <x:c r="AN16" s="35" t="str">
        <x:v>Original World Bank/WGI 2015-2017 data complete</x:v>
      </x:c>
      <x:c r="AO16" s="35" t="str">
        <x:v>World Bank WDI</x:v>
      </x:c>
      <x:c r="AP16" s="35" t="str">
        <x:v>World Bank WDI oil + gas + coal rents</x:v>
      </x:c>
      <x:c r="AQ16" s="35" t="str">
        <x:v>No</x:v>
      </x:c>
      <x:c r="AR16" s="35" t="n">
        <x:v>0</x:v>
      </x:c>
    </x:row>
    <x:row r="17">
      <x:c r="A17" s="54" t="str">
        <x:v>Egypt</x:v>
      </x:c>
      <x:c r="B17" s="54" t="str">
        <x:v>埃及</x:v>
      </x:c>
      <x:c r="C17" s="54" t="str">
        <x:v>EGY</x:v>
      </x:c>
      <x:c r="D17" s="54" t="str">
        <x:v>Leading</x:v>
      </x:c>
      <x:c r="E17" s="54" t="str">
        <x:v>Scale-and-Momentum Leadership Archetype</x:v>
      </x:c>
      <x:c r="F17" s="54" t="str">
        <x:v>High stability</x:v>
      </x:c>
      <x:c r="G17" s="54"/>
      <x:c r="H17" s="57" t="n">
        <x:v>-0.5216722</x:v>
      </x:c>
      <x:c r="I17" s="57" t="n">
        <x:v>-0.4409504</x:v>
      </x:c>
      <x:c r="J17" s="57" t="n">
        <x:v>-0.4068952</x:v>
      </x:c>
      <x:c r="K17" s="57" t="n">
        <x:f>AVERAGE(H17:J17)</x:f>
        <x:v>-0.4565059333333334</x:v>
      </x:c>
      <x:c r="L17" s="57" t="n">
        <x:v>-1.5178167</x:v>
      </x:c>
      <x:c r="M17" s="57" t="n">
        <x:v>-1.5399732</x:v>
      </x:c>
      <x:c r="N17" s="57" t="n">
        <x:v>-1.4711477</x:v>
      </x:c>
      <x:c r="O17" s="57" t="n">
        <x:f>AVERAGE(L17:N17)</x:f>
        <x:v>-1.5096458666666666</x:v>
      </x:c>
      <x:c r="P17" s="59" t="n">
        <x:v>329366576819.407</x:v>
      </x:c>
      <x:c r="Q17" s="59" t="n">
        <x:v>332441717791.411</x:v>
      </x:c>
      <x:c r="R17" s="59" t="n">
        <x:v>248362771739.1304</x:v>
      </x:c>
      <x:c r="S17" s="59" t="n">
        <x:f>AVERAGE(P17:R17)</x:f>
        <x:v>303390355449.9828</x:v>
      </x:c>
      <x:c r="T17" s="61" t="n">
        <x:v>3306.981594141408</x:v>
      </x:c>
      <x:c r="U17" s="61" t="n">
        <x:v>3270.628776819699</x:v>
      </x:c>
      <x:c r="V17" s="61" t="n">
        <x:v>2395.103332994913</x:v>
      </x:c>
      <x:c r="W17" s="61" t="n">
        <x:f>AVERAGE(T17:V17)</x:f>
        <x:v>2990.9045679853402</x:v>
      </x:c>
      <x:c r="X17" s="57" t="n">
        <x:v>3.05526433674059</x:v>
      </x:c>
      <x:c r="Y17" s="57" t="n">
        <x:v>2.35006516963224</x:v>
      </x:c>
      <x:c r="Z17" s="57" t="n">
        <x:v>4.12683269397819</x:v>
      </x:c>
      <x:c r="AA17" s="57" t="n">
        <x:f>AVERAGE(X17:Z17)</x:f>
        <x:v>3.177387400117007</x:v>
      </x:c>
      <x:c r="AB17" s="57" t="n">
        <x:v>0.717587471392014</x:v>
      </x:c>
      <x:c r="AC17" s="57" t="n">
        <x:v>0.506687001503198</x:v>
      </x:c>
      <x:c r="AD17" s="57" t="n">
        <x:v>1.04828310066825</x:v>
      </x:c>
      <x:c r="AE17" s="57" t="n">
        <x:f>AVERAGE(AB17:AD17)</x:f>
        <x:v>0.7575191911878206</x:v>
      </x:c>
      <x:c r="AF17" s="57" t="n">
        <x:v>0</x:v>
      </x:c>
      <x:c r="AG17" s="57" t="n">
        <x:v>0</x:v>
      </x:c>
      <x:c r="AH17" s="57" t="n">
        <x:v>0</x:v>
      </x:c>
      <x:c r="AI17" s="57" t="n">
        <x:f>AVERAGE(AF17:AH17)</x:f>
        <x:v>0</x:v>
      </x:c>
      <x:c r="AJ17" s="57" t="n">
        <x:f>SUM(X17,AB17,AF17)</x:f>
        <x:v>3.7728518081326037</x:v>
      </x:c>
      <x:c r="AK17" s="57" t="n">
        <x:f>SUM(Y17,AC17,AG17)</x:f>
        <x:v>2.856752171135438</x:v>
      </x:c>
      <x:c r="AL17" s="57" t="n">
        <x:f>SUM(Z17,AD17,AH17)</x:f>
        <x:v>5.17511579464644</x:v>
      </x:c>
      <x:c r="AM17" s="57" t="n">
        <x:f>AVERAGE(AJ17:AL17)</x:f>
        <x:v>3.934906591304827</x:v>
      </x:c>
      <x:c r="AN17" s="35" t="str">
        <x:v>Original World Bank/WGI 2015-2017 data complete</x:v>
      </x:c>
      <x:c r="AO17" s="35" t="str">
        <x:v>World Bank WDI</x:v>
      </x:c>
      <x:c r="AP17" s="35" t="str">
        <x:v>World Bank WDI oil + gas + coal rents</x:v>
      </x:c>
      <x:c r="AQ17" s="35" t="str">
        <x:v>No</x:v>
      </x:c>
      <x:c r="AR17" s="35" t="n">
        <x:v>0</x:v>
      </x:c>
    </x:row>
    <x:row r="18">
      <x:c r="A18" s="54" t="str">
        <x:v>Equatorial Guinea</x:v>
      </x:c>
      <x:c r="B18" s="54" t="str">
        <x:v>赤道几内亚</x:v>
      </x:c>
      <x:c r="C18" s="54" t="str">
        <x:v>GNQ</x:v>
      </x:c>
      <x:c r="D18" s="54" t="str">
        <x:v>Lagging</x:v>
      </x:c>
      <x:c r="E18" s="54" t="str">
        <x:v>Transition-Constrained Archetype</x:v>
      </x:c>
      <x:c r="F18" s="54" t="str">
        <x:v>High stability</x:v>
      </x:c>
      <x:c r="G18" s="54"/>
      <x:c r="H18" s="57" t="n">
        <x:v>-0.9975417999999999</x:v>
      </x:c>
      <x:c r="I18" s="57" t="n">
        <x:v>-0.9739751999999999</x:v>
      </x:c>
      <x:c r="J18" s="57" t="n">
        <x:v>-1.0052134</x:v>
      </x:c>
      <x:c r="K18" s="57" t="n">
        <x:f>AVERAGE(H18:J18)</x:f>
        <x:v>-0.9922434666666667</x:v>
      </x:c>
      <x:c r="L18" s="57" t="n">
        <x:v>-0.5106021</x:v>
      </x:c>
      <x:c r="M18" s="57" t="n">
        <x:v>-0.4049977</x:v>
      </x:c>
      <x:c r="N18" s="57" t="n">
        <x:v>-0.3950453</x:v>
      </x:c>
      <x:c r="O18" s="57" t="n">
        <x:f>AVERAGE(L18:N18)</x:f>
        <x:v>-0.4368817</x:v>
      </x:c>
      <x:c r="P18" s="59" t="n">
        <x:v>13185496881.0174</x:v>
      </x:c>
      <x:c r="Q18" s="59" t="n">
        <x:v>11240808847.88782</x:v>
      </x:c>
      <x:c r="R18" s="59" t="n">
        <x:v>12200913878.98272</x:v>
      </x:c>
      <x:c r="S18" s="59" t="n">
        <x:f>AVERAGE(P18:R18)</x:f>
        <x:v>12209073202.629313</x:v>
      </x:c>
      <x:c r="T18" s="61" t="n">
        <x:v>9068.910032386446</x:v>
      </x:c>
      <x:c r="U18" s="61" t="n">
        <x:v>7453.197979485167</x:v>
      </x:c>
      <x:c r="V18" s="61" t="n">
        <x:v>7809.104656554882</x:v>
      </x:c>
      <x:c r="W18" s="61" t="n">
        <x:f>AVERAGE(T18:V18)</x:f>
        <x:v>8110.404222808832</x:v>
      </x:c>
      <x:c r="X18" s="57" t="n">
        <x:v>12.576041460388</x:v>
      </x:c>
      <x:c r="Y18" s="57" t="n">
        <x:v>11.7086428410267</x:v>
      </x:c>
      <x:c r="Z18" s="57" t="n">
        <x:v>16.1366726241749</x:v>
      </x:c>
      <x:c r="AA18" s="57" t="n">
        <x:f>AVERAGE(X18:Z18)</x:f>
        <x:v>13.4737856418632</x:v>
      </x:c>
      <x:c r="AB18" s="57" t="n">
        <x:v>3.96755999067266</x:v>
      </x:c>
      <x:c r="AC18" s="57" t="n">
        <x:v>3.3292341665039</x:v>
      </x:c>
      <x:c r="AD18" s="57" t="n">
        <x:v>3.92567796997632</x:v>
      </x:c>
      <x:c r="AE18" s="57" t="n">
        <x:f>AVERAGE(AB18:AD18)</x:f>
        <x:v>3.7408240423842933</x:v>
      </x:c>
      <x:c r="AF18" s="57" t="n">
        <x:v>0</x:v>
      </x:c>
      <x:c r="AG18" s="57" t="n">
        <x:v>0</x:v>
      </x:c>
      <x:c r="AH18" s="57" t="n">
        <x:v>0</x:v>
      </x:c>
      <x:c r="AI18" s="57" t="n">
        <x:f>AVERAGE(AF18:AH18)</x:f>
        <x:v>0</x:v>
      </x:c>
      <x:c r="AJ18" s="57" t="n">
        <x:f>SUM(X18,AB18,AF18)</x:f>
        <x:v>16.54360145106066</x:v>
      </x:c>
      <x:c r="AK18" s="57" t="n">
        <x:f>SUM(Y18,AC18,AG18)</x:f>
        <x:v>15.0378770075306</x:v>
      </x:c>
      <x:c r="AL18" s="57" t="n">
        <x:f>SUM(Z18,AD18,AH18)</x:f>
        <x:v>20.06235059415122</x:v>
      </x:c>
      <x:c r="AM18" s="57" t="n">
        <x:f>AVERAGE(AJ18:AL18)</x:f>
        <x:v>17.214609684247492</x:v>
      </x:c>
      <x:c r="AN18" s="35" t="str">
        <x:v>Original World Bank/WGI 2015-2017 data complete</x:v>
      </x:c>
      <x:c r="AO18" s="35" t="str">
        <x:v>World Bank WDI</x:v>
      </x:c>
      <x:c r="AP18" s="35" t="str">
        <x:v>World Bank WDI oil + gas + coal rents</x:v>
      </x:c>
      <x:c r="AQ18" s="35" t="str">
        <x:v>No</x:v>
      </x:c>
      <x:c r="AR18" s="35" t="n">
        <x:v>0</x:v>
      </x:c>
    </x:row>
    <x:row r="19">
      <x:c r="A19" s="54" t="str">
        <x:v>Eritrea</x:v>
      </x:c>
      <x:c r="B19" s="54" t="str">
        <x:v>厄立特里亚</x:v>
      </x:c>
      <x:c r="C19" s="54" t="str">
        <x:v>ERI</x:v>
      </x:c>
      <x:c r="D19" s="54" t="str">
        <x:v>Lagging</x:v>
      </x:c>
      <x:c r="E19" s="54" t="str">
        <x:v>Transition-Constrained Archetype</x:v>
      </x:c>
      <x:c r="F19" s="54" t="str">
        <x:v>High stability</x:v>
      </x:c>
      <x:c r="G19" s="54"/>
      <x:c r="H19" s="57" t="n">
        <x:v>-1.2742181</x:v>
      </x:c>
      <x:c r="I19" s="57" t="n">
        <x:v>-1.2669749</x:v>
      </x:c>
      <x:c r="J19" s="57" t="n">
        <x:v>-1.2739169</x:v>
      </x:c>
      <x:c r="K19" s="57" t="n">
        <x:f>AVERAGE(H19:J19)</x:f>
        <x:v>-1.2717032999999998</x:v>
      </x:c>
      <x:c r="L19" s="57" t="n">
        <x:v>-0.7893504</x:v>
      </x:c>
      <x:c r="M19" s="57" t="n">
        <x:v>-0.7487988</x:v>
      </x:c>
      <x:c r="N19" s="57" t="n">
        <x:v>-0.8341841999999999</x:v>
      </x:c>
      <x:c r="O19" s="57" t="n">
        <x:f>AVERAGE(L19:N19)</x:f>
        <x:v>-0.7907777999999999</x:v>
      </x:c>
      <x:c r="P19" s="59" t="n">
        <x:v>2013000000</x:v>
      </x:c>
      <x:c r="Q19" s="59" t="n">
        <x:v>2174000000</x:v>
      </x:c>
      <x:c r="R19" s="59" t="n">
        <x:v>1904000000</x:v>
      </x:c>
      <x:c r="S19" s="59" t="n">
        <x:f>AVERAGE(P19:R19)</x:f>
        <x:v>2030333333.3333333</x:v>
      </x:c>
      <x:c r="T19" s="61" t="n">
        <x:v>648</x:v>
      </x:c>
      <x:c r="U19" s="61" t="n">
        <x:v>696</x:v>
      </x:c>
      <x:c r="V19" s="61" t="n">
        <x:v>604</x:v>
      </x:c>
      <x:c r="W19" s="61" t="n">
        <x:f>AVERAGE(T19:V19)</x:f>
        <x:v>649.3333333333334</x:v>
      </x:c>
      <x:c r="X19" s="57" t="n">
        <x:v>0</x:v>
      </x:c>
      <x:c r="Y19" s="57" t="n">
        <x:v>0</x:v>
      </x:c>
      <x:c r="Z19" s="57" t="n">
        <x:v>0</x:v>
      </x:c>
      <x:c r="AA19" s="57" t="n">
        <x:f>AVERAGE(X19:Z19)</x:f>
        <x:v>0</x:v>
      </x:c>
      <x:c r="AB19" s="57" t="n">
        <x:v>0</x:v>
      </x:c>
      <x:c r="AC19" s="57" t="n">
        <x:v>0</x:v>
      </x:c>
      <x:c r="AD19" s="57" t="n">
        <x:v>0</x:v>
      </x:c>
      <x:c r="AE19" s="57" t="n">
        <x:f>AVERAGE(AB19:AD19)</x:f>
        <x:v>0</x:v>
      </x:c>
      <x:c r="AF19" s="57" t="n">
        <x:v>0</x:v>
      </x:c>
      <x:c r="AG19" s="57" t="n">
        <x:v>0</x:v>
      </x:c>
      <x:c r="AH19" s="57" t="n">
        <x:v>0</x:v>
      </x:c>
      <x:c r="AI19" s="57" t="n">
        <x:f>AVERAGE(AF19:AH19)</x:f>
        <x:v>0</x:v>
      </x:c>
      <x:c r="AJ19" s="57" t="n">
        <x:f>SUM(X19,AB19,AF19)</x:f>
        <x:v>0</x:v>
      </x:c>
      <x:c r="AK19" s="57" t="n">
        <x:f>SUM(Y19,AC19,AG19)</x:f>
        <x:v>0</x:v>
      </x:c>
      <x:c r="AL19" s="57" t="n">
        <x:f>SUM(Z19,AD19,AH19)</x:f>
        <x:v>0</x:v>
      </x:c>
      <x:c r="AM19" s="57" t="n">
        <x:f>AVERAGE(AJ19:AL19)</x:f>
        <x:v>0</x:v>
      </x:c>
      <x:c r="AN19" s="35" t="str">
        <x:v>Completed: UNSD GDP/GDPpc + evidence-validated structural fossil-rent zeros</x:v>
      </x:c>
      <x:c r="AO19" s="35" t="str">
        <x:v>UNSD SNAAMA 2015-2017</x:v>
      </x:c>
      <x:c r="AP19" s="35" t="str">
        <x:v>Evidence-validated zeros for oil/gas/coal rents</x:v>
      </x:c>
      <x:c r="AQ19" s="35" t="str">
        <x:v>No</x:v>
      </x:c>
      <x:c r="AR19" s="35" t="n">
        <x:v>0</x:v>
      </x:c>
    </x:row>
    <x:row r="20">
      <x:c r="A20" s="54" t="str">
        <x:v>Eswatini</x:v>
      </x:c>
      <x:c r="B20" s="54" t="str">
        <x:v>斯威士兰</x:v>
      </x:c>
      <x:c r="C20" s="54" t="str">
        <x:v>SWZ</x:v>
      </x:c>
      <x:c r="D20" s="54" t="str">
        <x:v>Balancing</x:v>
      </x:c>
      <x:c r="E20" s="54" t="str">
        <x:v>System-Deepening Archetype</x:v>
      </x:c>
      <x:c r="F20" s="54" t="str">
        <x:v>High stability</x:v>
      </x:c>
      <x:c r="G20" s="54"/>
      <x:c r="H20" s="57" t="n">
        <x:v>-0.2900182</x:v>
      </x:c>
      <x:c r="I20" s="57" t="n">
        <x:v>-0.2483557</x:v>
      </x:c>
      <x:c r="J20" s="57" t="n">
        <x:v>-0.2875028</x:v>
      </x:c>
      <x:c r="K20" s="57" t="n">
        <x:f>AVERAGE(H20:J20)</x:f>
        <x:v>-0.27529223333333336</x:v>
      </x:c>
      <x:c r="L20" s="57" t="n">
        <x:v>-0.4462561</x:v>
      </x:c>
      <x:c r="M20" s="57" t="n">
        <x:v>-0.4484062</x:v>
      </x:c>
      <x:c r="N20" s="57" t="n">
        <x:v>-0.3803327</x:v>
      </x:c>
      <x:c r="O20" s="57" t="n">
        <x:f>AVERAGE(L20:N20)</x:f>
        <x:v>-0.42499833333333337</x:v>
      </x:c>
      <x:c r="P20" s="59" t="n">
        <x:v>3908217914.218244</x:v>
      </x:c>
      <x:c r="Q20" s="59" t="n">
        <x:v>3722306116.728715</x:v>
      </x:c>
      <x:c r="R20" s="59" t="n">
        <x:v>4462640651.49219</x:v>
      </x:c>
      <x:c r="S20" s="59" t="n">
        <x:f>AVERAGE(P20:R20)</x:f>
        <x:v>4031054894.146383</x:v>
      </x:c>
      <x:c r="T20" s="61" t="n">
        <x:v>3419.822765595284</x:v>
      </x:c>
      <x:c r="U20" s="61" t="n">
        <x:v>3238.176119613639</x:v>
      </x:c>
      <x:c r="V20" s="61" t="n">
        <x:v>3853.099565696787</x:v>
      </x:c>
      <x:c r="W20" s="61" t="n">
        <x:f>AVERAGE(T20:V20)</x:f>
        <x:v>3503.6994836352364</x:v>
      </x:c>
      <x:c r="X20" s="57" t="n">
        <x:v>0.124269749067541</x:v>
      </x:c>
      <x:c r="Y20" s="57" t="n">
        <x:v>0.116108859833854</x:v>
      </x:c>
      <x:c r="Z20" s="57" t="n">
        <x:v>0</x:v>
      </x:c>
      <x:c r="AA20" s="57" t="n">
        <x:f>AVERAGE(X20:Z20)</x:f>
        <x:v>0.08012620296713167</x:v>
      </x:c>
      <x:c r="AB20" s="57" t="n">
        <x:v>0</x:v>
      </x:c>
      <x:c r="AC20" s="57" t="n">
        <x:v>0</x:v>
      </x:c>
      <x:c r="AD20" s="57" t="n">
        <x:v>0</x:v>
      </x:c>
      <x:c r="AE20" s="57" t="n">
        <x:f>AVERAGE(AB20:AD20)</x:f>
        <x:v>0</x:v>
      </x:c>
      <x:c r="AF20" s="57" t="n">
        <x:v>0.0697393884469083</x:v>
      </x:c>
      <x:c r="AG20" s="57" t="n">
        <x:v>0.110834094905383</x:v>
      </x:c>
      <x:c r="AH20" s="57" t="n">
        <x:v>0.137972175952829</x:v>
      </x:c>
      <x:c r="AI20" s="57" t="n">
        <x:f>AVERAGE(AF20:AH20)</x:f>
        <x:v>0.1061818864350401</x:v>
      </x:c>
      <x:c r="AJ20" s="57" t="n">
        <x:f>SUM(X20,AB20,AF20)</x:f>
        <x:v>0.19400913751444931</x:v>
      </x:c>
      <x:c r="AK20" s="57" t="n">
        <x:f>SUM(Y20,AC20,AG20)</x:f>
        <x:v>0.22694295473923698</x:v>
      </x:c>
      <x:c r="AL20" s="57" t="n">
        <x:f>SUM(Z20,AD20,AH20)</x:f>
        <x:v>0.137972175952829</x:v>
      </x:c>
      <x:c r="AM20" s="57" t="n">
        <x:f>AVERAGE(AJ20:AL20)</x:f>
        <x:v>0.18630808940217178</x:v>
      </x:c>
      <x:c r="AN20" s="35" t="str">
        <x:v>Original World Bank/WGI 2015-2017 data complete</x:v>
      </x:c>
      <x:c r="AO20" s="35" t="str">
        <x:v>World Bank WDI</x:v>
      </x:c>
      <x:c r="AP20" s="35" t="str">
        <x:v>World Bank WDI oil + gas + coal rents</x:v>
      </x:c>
      <x:c r="AQ20" s="35" t="str">
        <x:v>No</x:v>
      </x:c>
      <x:c r="AR20" s="35" t="n">
        <x:v>0</x:v>
      </x:c>
    </x:row>
    <x:row r="21">
      <x:c r="A21" s="54" t="str">
        <x:v>Ethiopia</x:v>
      </x:c>
      <x:c r="B21" s="54" t="str">
        <x:v>埃塞俄比亚</x:v>
      </x:c>
      <x:c r="C21" s="54" t="str">
        <x:v>ETH</x:v>
      </x:c>
      <x:c r="D21" s="54" t="str">
        <x:v>Leading</x:v>
      </x:c>
      <x:c r="E21" s="54" t="str">
        <x:v>Scale-and-Momentum Leadership Archetype</x:v>
      </x:c>
      <x:c r="F21" s="54" t="str">
        <x:v>High stability</x:v>
      </x:c>
      <x:c r="G21" s="54"/>
      <x:c r="H21" s="57" t="n">
        <x:v>-0.5298526</x:v>
      </x:c>
      <x:c r="I21" s="57" t="n">
        <x:v>-0.4771006</x:v>
      </x:c>
      <x:c r="J21" s="57" t="n">
        <x:v>-0.5281279</x:v>
      </x:c>
      <x:c r="K21" s="57" t="n">
        <x:f>AVERAGE(H21:J21)</x:f>
        <x:v>-0.5116936999999999</x:v>
      </x:c>
      <x:c r="L21" s="57" t="n">
        <x:v>-1.2635434</x:v>
      </x:c>
      <x:c r="M21" s="57" t="n">
        <x:v>-1.4396576</x:v>
      </x:c>
      <x:c r="N21" s="57" t="n">
        <x:v>-1.5195725</x:v>
      </x:c>
      <x:c r="O21" s="57" t="n">
        <x:f>AVERAGE(L21:N21)</x:f>
        <x:v>-1.4075911666666665</x:v>
      </x:c>
      <x:c r="P21" s="59" t="n">
        <x:v>62103418181.81818</x:v>
      </x:c>
      <x:c r="Q21" s="59" t="n">
        <x:v>68475871209.60699</x:v>
      </x:c>
      <x:c r="R21" s="59" t="n">
        <x:v>76366081766.66667</x:v>
      </x:c>
      <x:c r="S21" s="59" t="n">
        <x:f>AVERAGE(P21:R21)</x:f>
        <x:v>68981790386.03062</x:v>
      </x:c>
      <x:c r="T21" s="61" t="n">
        <x:v>597.9121132186633</x:v>
      </x:c>
      <x:c r="U21" s="61" t="n">
        <x:v>641.6515232862331</x:v>
      </x:c>
      <x:c r="V21" s="61" t="n">
        <x:v>696.3484290762159</x:v>
      </x:c>
      <x:c r="W21" s="61" t="n">
        <x:f>AVERAGE(T21:V21)</x:f>
        <x:v>645.3040218603707</x:v>
      </x:c>
      <x:c r="X21" s="57" t="n">
        <x:v>0.00285682989554231</x:v>
      </x:c>
      <x:c r="Y21" s="57" t="n">
        <x:v>0.00272401031151283</x:v>
      </x:c>
      <x:c r="Z21" s="57" t="n">
        <x:v>0</x:v>
      </x:c>
      <x:c r="AA21" s="57" t="n">
        <x:f>AVERAGE(X21:Z21)</x:f>
        <x:v>0.0018602800690183802</x:v>
      </x:c>
      <x:c r="AB21" s="57" t="n">
        <x:v>0</x:v>
      </x:c>
      <x:c r="AC21" s="57" t="n">
        <x:v>0</x:v>
      </x:c>
      <x:c r="AD21" s="57" t="n">
        <x:v>0</x:v>
      </x:c>
      <x:c r="AE21" s="57" t="n">
        <x:f>AVERAGE(AB21:AD21)</x:f>
        <x:v>0</x:v>
      </x:c>
      <x:c r="AF21" s="57" t="n">
        <x:v>0</x:v>
      </x:c>
      <x:c r="AG21" s="57" t="n">
        <x:v>0.0000990538673681238</x:v>
      </x:c>
      <x:c r="AH21" s="57" t="n">
        <x:v>0.000130013475187816</x:v>
      </x:c>
      <x:c r="AI21" s="57" t="n">
        <x:f>AVERAGE(AF21:AH21)</x:f>
        <x:v>0.00007635578085197993</x:v>
      </x:c>
      <x:c r="AJ21" s="57" t="n">
        <x:f>SUM(X21,AB21,AF21)</x:f>
        <x:v>0.00285682989554231</x:v>
      </x:c>
      <x:c r="AK21" s="57" t="n">
        <x:f>SUM(Y21,AC21,AG21)</x:f>
        <x:v>0.002823064178880954</x:v>
      </x:c>
      <x:c r="AL21" s="57" t="n">
        <x:f>SUM(Z21,AD21,AH21)</x:f>
        <x:v>0.000130013475187816</x:v>
      </x:c>
      <x:c r="AM21" s="57" t="n">
        <x:f>AVERAGE(AJ21:AL21)</x:f>
        <x:v>0.00193663584987036</x:v>
      </x:c>
      <x:c r="AN21" s="35" t="str">
        <x:v>Original World Bank/WGI 2015-2017 data complete</x:v>
      </x:c>
      <x:c r="AO21" s="35" t="str">
        <x:v>World Bank WDI</x:v>
      </x:c>
      <x:c r="AP21" s="35" t="str">
        <x:v>World Bank WDI oil + gas + coal rents</x:v>
      </x:c>
      <x:c r="AQ21" s="35" t="str">
        <x:v>No</x:v>
      </x:c>
      <x:c r="AR21" s="35" t="n">
        <x:v>0</x:v>
      </x:c>
    </x:row>
    <x:row r="22">
      <x:c r="A22" s="54" t="str">
        <x:v>Gabon</x:v>
      </x:c>
      <x:c r="B22" s="54" t="str">
        <x:v>加蓬</x:v>
      </x:c>
      <x:c r="C22" s="54" t="str">
        <x:v>GAB</x:v>
      </x:c>
      <x:c r="D22" s="54" t="str">
        <x:v>Balancing</x:v>
      </x:c>
      <x:c r="E22" s="54" t="str">
        <x:v>System-Deepening Archetype</x:v>
      </x:c>
      <x:c r="F22" s="54" t="str">
        <x:v>High stability</x:v>
      </x:c>
      <x:c r="G22" s="54"/>
      <x:c r="H22" s="57" t="n">
        <x:v>-0.7023889999999999</x:v>
      </x:c>
      <x:c r="I22" s="57" t="n">
        <x:v>-0.6634804</x:v>
      </x:c>
      <x:c r="J22" s="57" t="n">
        <x:v>-0.8272048</x:v>
      </x:c>
      <x:c r="K22" s="57" t="n">
        <x:f>AVERAGE(H22:J22)</x:f>
        <x:v>-0.7310247333333333</x:v>
      </x:c>
      <x:c r="L22" s="57" t="n">
        <x:v>-0.1148078</x:v>
      </x:c>
      <x:c r="M22" s="57" t="n">
        <x:v>-0.5345791999999999</x:v>
      </x:c>
      <x:c r="N22" s="57" t="n">
        <x:v>-0.4524644</x:v>
      </x:c>
      <x:c r="O22" s="57" t="n">
        <x:f>AVERAGE(L22:N22)</x:f>
        <x:v>-0.3672838</x:v>
      </x:c>
      <x:c r="P22" s="59" t="n">
        <x:v>14383107762.69518</x:v>
      </x:c>
      <x:c r="Q22" s="59" t="n">
        <x:v>14023890265.36646</x:v>
      </x:c>
      <x:c r="R22" s="59" t="n">
        <x:v>14929487485.16228</x:v>
      </x:c>
      <x:c r="S22" s="59" t="n">
        <x:f>AVERAGE(P22:R22)</x:f>
        <x:v>14445495171.07464</x:v>
      </x:c>
      <x:c r="T22" s="61" t="n">
        <x:v>7047.126546343554</x:v>
      </x:c>
      <x:c r="U22" s="61" t="n">
        <x:v>6677.070039016437</x:v>
      </x:c>
      <x:c r="V22" s="61" t="n">
        <x:v>6921.73373135624</x:v>
      </x:c>
      <x:c r="W22" s="61" t="n">
        <x:f>AVERAGE(T22:V22)</x:f>
        <x:v>6881.976772238743</x:v>
      </x:c>
      <x:c r="X22" s="57" t="n">
        <x:v>9.98640233955356</x:v>
      </x:c>
      <x:c r="Y22" s="57" t="n">
        <x:v>9.0185416132992</x:v>
      </x:c>
      <x:c r="Z22" s="57" t="n">
        <x:v>14.3932577694784</x:v>
      </x:c>
      <x:c r="AA22" s="57" t="n">
        <x:f>AVERAGE(X22:Z22)</x:f>
        <x:v>11.132733907443722</x:v>
      </x:c>
      <x:c r="AB22" s="57" t="n">
        <x:v>0.259727579161708</x:v>
      </x:c>
      <x:c r="AC22" s="57" t="n">
        <x:v>0.180381369327729</x:v>
      </x:c>
      <x:c r="AD22" s="57" t="n">
        <x:v>0.183250931989039</x:v>
      </x:c>
      <x:c r="AE22" s="57" t="n">
        <x:f>AVERAGE(AB22:AD22)</x:f>
        <x:v>0.20778662682615867</x:v>
      </x:c>
      <x:c r="AF22" s="57" t="n">
        <x:v>0</x:v>
      </x:c>
      <x:c r="AG22" s="57" t="n">
        <x:v>0</x:v>
      </x:c>
      <x:c r="AH22" s="57" t="n">
        <x:v>0</x:v>
      </x:c>
      <x:c r="AI22" s="57" t="n">
        <x:f>AVERAGE(AF22:AH22)</x:f>
        <x:v>0</x:v>
      </x:c>
      <x:c r="AJ22" s="57" t="n">
        <x:f>SUM(X22,AB22,AF22)</x:f>
        <x:v>10.246129918715269</x:v>
      </x:c>
      <x:c r="AK22" s="57" t="n">
        <x:f>SUM(Y22,AC22,AG22)</x:f>
        <x:v>9.19892298262693</x:v>
      </x:c>
      <x:c r="AL22" s="57" t="n">
        <x:f>SUM(Z22,AD22,AH22)</x:f>
        <x:v>14.57650870146744</x:v>
      </x:c>
      <x:c r="AM22" s="57" t="n">
        <x:f>AVERAGE(AJ22:AL22)</x:f>
        <x:v>11.34052053426988</x:v>
      </x:c>
      <x:c r="AN22" s="35" t="str">
        <x:v>Original World Bank/WGI 2015-2017 data complete</x:v>
      </x:c>
      <x:c r="AO22" s="35" t="str">
        <x:v>World Bank WDI</x:v>
      </x:c>
      <x:c r="AP22" s="35" t="str">
        <x:v>World Bank WDI oil + gas + coal rents</x:v>
      </x:c>
      <x:c r="AQ22" s="35" t="str">
        <x:v>No</x:v>
      </x:c>
      <x:c r="AR22" s="35" t="n">
        <x:v>0</x:v>
      </x:c>
    </x:row>
    <x:row r="23">
      <x:c r="A23" s="54" t="str">
        <x:v>Gambia</x:v>
      </x:c>
      <x:c r="B23" s="54" t="str">
        <x:v>冈比亚</x:v>
      </x:c>
      <x:c r="C23" s="54" t="str">
        <x:v>GMB</x:v>
      </x:c>
      <x:c r="D23" s="54" t="str">
        <x:v>Lagging</x:v>
      </x:c>
      <x:c r="E23" s="54" t="str">
        <x:v>Transition-Constrained Archetype</x:v>
      </x:c>
      <x:c r="F23" s="54" t="str">
        <x:v>High stability</x:v>
      </x:c>
      <x:c r="G23" s="54"/>
      <x:c r="H23" s="57" t="n">
        <x:v>-0.6335683</x:v>
      </x:c>
      <x:c r="I23" s="57" t="n">
        <x:v>-0.6110704</x:v>
      </x:c>
      <x:c r="J23" s="57" t="n">
        <x:v>-0.5220745999999999</x:v>
      </x:c>
      <x:c r="K23" s="57" t="n">
        <x:f>AVERAGE(H23:J23)</x:f>
        <x:v>-0.5889044333333332</x:v>
      </x:c>
      <x:c r="L23" s="57" t="n">
        <x:v>-0.2105016</x:v>
      </x:c>
      <x:c r="M23" s="57" t="n">
        <x:v>-0.446274</x:v>
      </x:c>
      <x:c r="N23" s="57" t="n">
        <x:v>-0.1969537</x:v>
      </x:c>
      <x:c r="O23" s="57" t="n">
        <x:f>AVERAGE(L23:N23)</x:f>
        <x:v>-0.2845764333333333</x:v>
      </x:c>
      <x:c r="P23" s="59" t="n">
        <x:v>1378176608.932041</x:v>
      </x:c>
      <x:c r="Q23" s="59" t="n">
        <x:v>1484578885.971323</x:v>
      </x:c>
      <x:c r="R23" s="59" t="n">
        <x:v>1504909462.695211</x:v>
      </x:c>
      <x:c r="S23" s="59" t="n">
        <x:f>AVERAGE(P23:R23)</x:f>
        <x:v>1455888319.199525</x:v>
      </x:c>
      <x:c r="T23" s="61" t="n">
        <x:v>619.5363642964605</x:v>
      </x:c>
      <x:c r="U23" s="61" t="n">
        <x:v>650.0565013236113</x:v>
      </x:c>
      <x:c r="V23" s="61" t="n">
        <x:v>642.5226412963307</x:v>
      </x:c>
      <x:c r="W23" s="61" t="n">
        <x:f>AVERAGE(T23:V23)</x:f>
        <x:v>637.3718356388008</x:v>
      </x:c>
      <x:c r="X23" s="57" t="n">
        <x:v>0</x:v>
      </x:c>
      <x:c r="Y23" s="57" t="n">
        <x:v>0</x:v>
      </x:c>
      <x:c r="Z23" s="57" t="n">
        <x:v>0</x:v>
      </x:c>
      <x:c r="AA23" s="57" t="n">
        <x:f>AVERAGE(X23:Z23)</x:f>
        <x:v>0</x:v>
      </x:c>
      <x:c r="AB23" s="57" t="n">
        <x:v>0</x:v>
      </x:c>
      <x:c r="AC23" s="57" t="n">
        <x:v>0</x:v>
      </x:c>
      <x:c r="AD23" s="57" t="n">
        <x:v>0</x:v>
      </x:c>
      <x:c r="AE23" s="57" t="n">
        <x:f>AVERAGE(AB23:AD23)</x:f>
        <x:v>0</x:v>
      </x:c>
      <x:c r="AF23" s="57" t="n">
        <x:v>0</x:v>
      </x:c>
      <x:c r="AG23" s="57" t="n">
        <x:v>0</x:v>
      </x:c>
      <x:c r="AH23" s="57" t="n">
        <x:v>0</x:v>
      </x:c>
      <x:c r="AI23" s="57" t="n">
        <x:f>AVERAGE(AF23:AH23)</x:f>
        <x:v>0</x:v>
      </x:c>
      <x:c r="AJ23" s="57" t="n">
        <x:f>SUM(X23,AB23,AF23)</x:f>
        <x:v>0</x:v>
      </x:c>
      <x:c r="AK23" s="57" t="n">
        <x:f>SUM(Y23,AC23,AG23)</x:f>
        <x:v>0</x:v>
      </x:c>
      <x:c r="AL23" s="57" t="n">
        <x:f>SUM(Z23,AD23,AH23)</x:f>
        <x:v>0</x:v>
      </x:c>
      <x:c r="AM23" s="57" t="n">
        <x:f>AVERAGE(AJ23:AL23)</x:f>
        <x:v>0</x:v>
      </x:c>
      <x:c r="AN23" s="35" t="str">
        <x:v>Original World Bank/WGI 2015-2017 data complete</x:v>
      </x:c>
      <x:c r="AO23" s="35" t="str">
        <x:v>World Bank WDI</x:v>
      </x:c>
      <x:c r="AP23" s="35" t="str">
        <x:v>World Bank WDI oil + gas + coal rents</x:v>
      </x:c>
      <x:c r="AQ23" s="35" t="str">
        <x:v>No</x:v>
      </x:c>
      <x:c r="AR23" s="35" t="n">
        <x:v>0</x:v>
      </x:c>
    </x:row>
    <x:row r="24">
      <x:c r="A24" s="54" t="str">
        <x:v>Ghana</x:v>
      </x:c>
      <x:c r="B24" s="54" t="str">
        <x:v>加纳</x:v>
      </x:c>
      <x:c r="C24" s="54" t="str">
        <x:v>GHA</x:v>
      </x:c>
      <x:c r="D24" s="54" t="str">
        <x:v>Balancing</x:v>
      </x:c>
      <x:c r="E24" s="54" t="str">
        <x:v>System-Deepening Archetype</x:v>
      </x:c>
      <x:c r="F24" s="54" t="str">
        <x:v>High stability</x:v>
      </x:c>
      <x:c r="G24" s="54"/>
      <x:c r="H24" s="57" t="n">
        <x:v>-0.085856</x:v>
      </x:c>
      <x:c r="I24" s="57" t="n">
        <x:v>0.0177698</x:v>
      </x:c>
      <x:c r="J24" s="57" t="n">
        <x:v>0.0366097</x:v>
      </x:c>
      <x:c r="K24" s="57" t="n">
        <x:f>AVERAGE(H24:J24)</x:f>
        <x:v>-0.010492166666666665</x:v>
      </x:c>
      <x:c r="L24" s="57" t="n">
        <x:v>-0.0228697</x:v>
      </x:c>
      <x:c r="M24" s="57" t="n">
        <x:v>-0.128208</x:v>
      </x:c>
      <x:c r="N24" s="57" t="n">
        <x:v>0.06639489999999999</x:v>
      </x:c>
      <x:c r="O24" s="57" t="n">
        <x:f>AVERAGE(L24:N24)</x:f>
        <x:v>-0.028227599999999995</x:v>
      </x:c>
      <x:c r="P24" s="59" t="n">
        <x:v>49436806230.48395</x:v>
      </x:c>
      <x:c r="Q24" s="59" t="n">
        <x:v>56144179397.85165</x:v>
      </x:c>
      <x:c r="R24" s="59" t="n">
        <x:v>60385409434.85667</x:v>
      </x:c>
      <x:c r="S24" s="59" t="n">
        <x:f>AVERAGE(P24:R24)</x:f>
        <x:v>55322131687.73075</x:v>
      </x:c>
      <x:c r="T24" s="61" t="n">
        <x:v>1722.772828336062</x:v>
      </x:c>
      <x:c r="U24" s="61" t="n">
        <x:v>1912.479913399506</x:v>
      </x:c>
      <x:c r="V24" s="61" t="n">
        <x:v>2012.286626412654</x:v>
      </x:c>
      <x:c r="W24" s="61" t="n">
        <x:f>AVERAGE(T24:V24)</x:f>
        <x:v>1882.513122716074</x:v>
      </x:c>
      <x:c r="X24" s="57" t="n">
        <x:v>1.29146546233544</x:v>
      </x:c>
      <x:c r="Y24" s="57" t="n">
        <x:v>1.00121845985195</x:v>
      </x:c>
      <x:c r="Z24" s="57" t="n">
        <x:v>2.60564944915053</x:v>
      </x:c>
      <x:c r="AA24" s="57" t="n">
        <x:f>AVERAGE(X24:Z24)</x:f>
        <x:v>1.6327777904459733</x:v>
      </x:c>
      <x:c r="AB24" s="57" t="n">
        <x:v>0.0841913549188799</x:v>
      </x:c>
      <x:c r="AC24" s="57" t="n">
        <x:v>0.0451266748124126</x:v>
      </x:c>
      <x:c r="AD24" s="57" t="n">
        <x:v>0.0717217647016315</x:v>
      </x:c>
      <x:c r="AE24" s="57" t="n">
        <x:f>AVERAGE(AB24:AD24)</x:f>
        <x:v>0.06701326481097467</x:v>
      </x:c>
      <x:c r="AF24" s="57" t="n">
        <x:v>0</x:v>
      </x:c>
      <x:c r="AG24" s="57" t="n">
        <x:v>0</x:v>
      </x:c>
      <x:c r="AH24" s="57" t="n">
        <x:v>0</x:v>
      </x:c>
      <x:c r="AI24" s="57" t="n">
        <x:f>AVERAGE(AF24:AH24)</x:f>
        <x:v>0</x:v>
      </x:c>
      <x:c r="AJ24" s="57" t="n">
        <x:f>SUM(X24,AB24,AF24)</x:f>
        <x:v>1.37565681725432</x:v>
      </x:c>
      <x:c r="AK24" s="57" t="n">
        <x:f>SUM(Y24,AC24,AG24)</x:f>
        <x:v>1.0463451346643626</x:v>
      </x:c>
      <x:c r="AL24" s="57" t="n">
        <x:f>SUM(Z24,AD24,AH24)</x:f>
        <x:v>2.6773712138521617</x:v>
      </x:c>
      <x:c r="AM24" s="57" t="n">
        <x:f>AVERAGE(AJ24:AL24)</x:f>
        <x:v>1.699791055256948</x:v>
      </x:c>
      <x:c r="AN24" s="35" t="str">
        <x:v>Original World Bank/WGI 2015-2017 data complete</x:v>
      </x:c>
      <x:c r="AO24" s="35" t="str">
        <x:v>World Bank WDI</x:v>
      </x:c>
      <x:c r="AP24" s="35" t="str">
        <x:v>World Bank WDI oil + gas + coal rents</x:v>
      </x:c>
      <x:c r="AQ24" s="35" t="str">
        <x:v>No</x:v>
      </x:c>
      <x:c r="AR24" s="35" t="n">
        <x:v>0</x:v>
      </x:c>
    </x:row>
    <x:row r="25">
      <x:c r="A25" s="54" t="str">
        <x:v>Guinea</x:v>
      </x:c>
      <x:c r="B25" s="54" t="str">
        <x:v>几内亚</x:v>
      </x:c>
      <x:c r="C25" s="54" t="str">
        <x:v>GIN</x:v>
      </x:c>
      <x:c r="D25" s="54" t="str">
        <x:v>Balancing</x:v>
      </x:c>
      <x:c r="E25" s="54" t="str">
        <x:v>System-Deepening Archetype</x:v>
      </x:c>
      <x:c r="F25" s="54" t="str">
        <x:v>High stability</x:v>
      </x:c>
      <x:c r="G25" s="54"/>
      <x:c r="H25" s="57" t="n">
        <x:v>-0.9452185</x:v>
      </x:c>
      <x:c r="I25" s="57" t="n">
        <x:v>-0.8784328</x:v>
      </x:c>
      <x:c r="J25" s="57" t="n">
        <x:v>-0.888003</x:v>
      </x:c>
      <x:c r="K25" s="57" t="n">
        <x:f>AVERAGE(H25:J25)</x:f>
        <x:v>-0.9038847666666666</x:v>
      </x:c>
      <x:c r="L25" s="57" t="n">
        <x:v>-0.7463171</x:v>
      </x:c>
      <x:c r="M25" s="57" t="n">
        <x:v>-0.5776285999999999</x:v>
      </x:c>
      <x:c r="N25" s="57" t="n">
        <x:v>-0.8004070999999999</x:v>
      </x:c>
      <x:c r="O25" s="57" t="n">
        <x:f>AVERAGE(L25:N25)</x:f>
        <x:v>-0.7081175999999999</x:v>
      </x:c>
      <x:c r="P25" s="59" t="n">
        <x:v>8794201742.846092</x:v>
      </x:c>
      <x:c r="Q25" s="59" t="n">
        <x:v>8595955222.497192</x:v>
      </x:c>
      <x:c r="R25" s="59" t="n">
        <x:v>10324668271.13623</x:v>
      </x:c>
      <x:c r="S25" s="59" t="n">
        <x:f>AVERAGE(P25:R25)</x:f>
        <x:v>9238275078.826506</x:v>
      </x:c>
      <x:c r="T25" s="61" t="n">
        <x:v>747.3569667594476</x:v>
      </x:c>
      <x:c r="U25" s="61" t="n">
        <x:v>711.9965097823158</x:v>
      </x:c>
      <x:c r="V25" s="61" t="n">
        <x:v>833.598621691121</x:v>
      </x:c>
      <x:c r="W25" s="61" t="n">
        <x:f>AVERAGE(T25:V25)</x:f>
        <x:v>764.3173660776282</x:v>
      </x:c>
      <x:c r="X25" s="57" t="n">
        <x:v>0</x:v>
      </x:c>
      <x:c r="Y25" s="57" t="n">
        <x:v>0</x:v>
      </x:c>
      <x:c r="Z25" s="57" t="n">
        <x:v>0</x:v>
      </x:c>
      <x:c r="AA25" s="57" t="n">
        <x:f>AVERAGE(X25:Z25)</x:f>
        <x:v>0</x:v>
      </x:c>
      <x:c r="AB25" s="57" t="n">
        <x:v>0</x:v>
      </x:c>
      <x:c r="AC25" s="57" t="n">
        <x:v>0</x:v>
      </x:c>
      <x:c r="AD25" s="57" t="n">
        <x:v>0</x:v>
      </x:c>
      <x:c r="AE25" s="57" t="n">
        <x:f>AVERAGE(AB25:AD25)</x:f>
        <x:v>0</x:v>
      </x:c>
      <x:c r="AF25" s="57" t="n">
        <x:v>0</x:v>
      </x:c>
      <x:c r="AG25" s="57" t="n">
        <x:v>0</x:v>
      </x:c>
      <x:c r="AH25" s="57" t="n">
        <x:v>0</x:v>
      </x:c>
      <x:c r="AI25" s="57" t="n">
        <x:f>AVERAGE(AF25:AH25)</x:f>
        <x:v>0</x:v>
      </x:c>
      <x:c r="AJ25" s="57" t="n">
        <x:f>SUM(X25,AB25,AF25)</x:f>
        <x:v>0</x:v>
      </x:c>
      <x:c r="AK25" s="57" t="n">
        <x:f>SUM(Y25,AC25,AG25)</x:f>
        <x:v>0</x:v>
      </x:c>
      <x:c r="AL25" s="57" t="n">
        <x:f>SUM(Z25,AD25,AH25)</x:f>
        <x:v>0</x:v>
      </x:c>
      <x:c r="AM25" s="57" t="n">
        <x:f>AVERAGE(AJ25:AL25)</x:f>
        <x:v>0</x:v>
      </x:c>
      <x:c r="AN25" s="35" t="str">
        <x:v>Original World Bank/WGI 2015-2017 data complete</x:v>
      </x:c>
      <x:c r="AO25" s="35" t="str">
        <x:v>World Bank WDI</x:v>
      </x:c>
      <x:c r="AP25" s="35" t="str">
        <x:v>World Bank WDI oil + gas + coal rents</x:v>
      </x:c>
      <x:c r="AQ25" s="35" t="str">
        <x:v>No</x:v>
      </x:c>
      <x:c r="AR25" s="35" t="n">
        <x:v>0</x:v>
      </x:c>
    </x:row>
    <x:row r="26">
      <x:c r="A26" s="54" t="str">
        <x:v>Guinea-Bissau</x:v>
      </x:c>
      <x:c r="B26" s="54" t="str">
        <x:v>几内亚比绍</x:v>
      </x:c>
      <x:c r="C26" s="54" t="str">
        <x:v>GNB</x:v>
      </x:c>
      <x:c r="D26" s="54" t="str">
        <x:v>Lagging</x:v>
      </x:c>
      <x:c r="E26" s="54" t="str">
        <x:v>Transition-Constrained Archetype</x:v>
      </x:c>
      <x:c r="F26" s="54" t="str">
        <x:v>High stability</x:v>
      </x:c>
      <x:c r="G26" s="54"/>
      <x:c r="H26" s="57" t="n">
        <x:v>-1.3953114</x:v>
      </x:c>
      <x:c r="I26" s="57" t="n">
        <x:v>-1.4408281</x:v>
      </x:c>
      <x:c r="J26" s="57" t="n">
        <x:v>-1.5425984</x:v>
      </x:c>
      <x:c r="K26" s="57" t="n">
        <x:f>AVERAGE(H26:J26)</x:f>
        <x:v>-1.4595793</x:v>
      </x:c>
      <x:c r="L26" s="57" t="n">
        <x:v>-0.5875693</x:v>
      </x:c>
      <x:c r="M26" s="57" t="n">
        <x:v>-0.5084519</x:v>
      </x:c>
      <x:c r="N26" s="57" t="n">
        <x:v>-0.5820373999999999</x:v>
      </x:c>
      <x:c r="O26" s="57" t="n">
        <x:f>AVERAGE(L26:N26)</x:f>
        <x:v>-0.5593528666666666</x:v>
      </x:c>
      <x:c r="P26" s="59" t="n">
        <x:v>1152384166.796375</x:v>
      </x:c>
      <x:c r="Q26" s="59" t="n">
        <x:v>1245074264.103961</x:v>
      </x:c>
      <x:c r="R26" s="59" t="n">
        <x:v>1469978606.121431</x:v>
      </x:c>
      <x:c r="S26" s="59" t="n">
        <x:f>AVERAGE(P26:R26)</x:f>
        <x:v>1289145679.0072558</x:v>
      </x:c>
      <x:c r="T26" s="61" t="n">
        <x:v>645.0668372070388</x:v>
      </x:c>
      <x:c r="U26" s="61" t="n">
        <x:v>679.6653866268176</x:v>
      </x:c>
      <x:c r="V26" s="61" t="n">
        <x:v>783.123186602022</x:v>
      </x:c>
      <x:c r="W26" s="61" t="n">
        <x:f>AVERAGE(T26:V26)</x:f>
        <x:v>702.6184701452929</x:v>
      </x:c>
      <x:c r="X26" s="57" t="n">
        <x:v>0</x:v>
      </x:c>
      <x:c r="Y26" s="57" t="n">
        <x:v>0</x:v>
      </x:c>
      <x:c r="Z26" s="57" t="n">
        <x:v>0</x:v>
      </x:c>
      <x:c r="AA26" s="57" t="n">
        <x:f>AVERAGE(X26:Z26)</x:f>
        <x:v>0</x:v>
      </x:c>
      <x:c r="AB26" s="57" t="n">
        <x:v>0</x:v>
      </x:c>
      <x:c r="AC26" s="57" t="n">
        <x:v>0</x:v>
      </x:c>
      <x:c r="AD26" s="57" t="n">
        <x:v>0</x:v>
      </x:c>
      <x:c r="AE26" s="57" t="n">
        <x:f>AVERAGE(AB26:AD26)</x:f>
        <x:v>0</x:v>
      </x:c>
      <x:c r="AF26" s="57" t="n">
        <x:v>0</x:v>
      </x:c>
      <x:c r="AG26" s="57" t="n">
        <x:v>0</x:v>
      </x:c>
      <x:c r="AH26" s="57" t="n">
        <x:v>0</x:v>
      </x:c>
      <x:c r="AI26" s="57" t="n">
        <x:f>AVERAGE(AF26:AH26)</x:f>
        <x:v>0</x:v>
      </x:c>
      <x:c r="AJ26" s="57" t="n">
        <x:f>SUM(X26,AB26,AF26)</x:f>
        <x:v>0</x:v>
      </x:c>
      <x:c r="AK26" s="57" t="n">
        <x:f>SUM(Y26,AC26,AG26)</x:f>
        <x:v>0</x:v>
      </x:c>
      <x:c r="AL26" s="57" t="n">
        <x:f>SUM(Z26,AD26,AH26)</x:f>
        <x:v>0</x:v>
      </x:c>
      <x:c r="AM26" s="57" t="n">
        <x:f>AVERAGE(AJ26:AL26)</x:f>
        <x:v>0</x:v>
      </x:c>
      <x:c r="AN26" s="35" t="str">
        <x:v>Original World Bank/WGI 2015-2017 data complete</x:v>
      </x:c>
      <x:c r="AO26" s="35" t="str">
        <x:v>World Bank WDI</x:v>
      </x:c>
      <x:c r="AP26" s="35" t="str">
        <x:v>World Bank WDI oil + gas + coal rents</x:v>
      </x:c>
      <x:c r="AQ26" s="35" t="str">
        <x:v>No</x:v>
      </x:c>
      <x:c r="AR26" s="35" t="n">
        <x:v>0</x:v>
      </x:c>
    </x:row>
    <x:row r="27">
      <x:c r="A27" s="54" t="str">
        <x:v>Kenya</x:v>
      </x:c>
      <x:c r="B27" s="54" t="str">
        <x:v>肯尼亚</x:v>
      </x:c>
      <x:c r="C27" s="54" t="str">
        <x:v>KEN</x:v>
      </x:c>
      <x:c r="D27" s="54" t="str">
        <x:v>Balancing</x:v>
      </x:c>
      <x:c r="E27" s="54" t="str">
        <x:v>System-Deepening Archetype</x:v>
      </x:c>
      <x:c r="F27" s="54" t="str">
        <x:v>High stability</x:v>
      </x:c>
      <x:c r="G27" s="54"/>
      <x:c r="H27" s="57" t="n">
        <x:v>-0.3675673</x:v>
      </x:c>
      <x:c r="I27" s="57" t="n">
        <x:v>-0.3165797</x:v>
      </x:c>
      <x:c r="J27" s="57" t="n">
        <x:v>-0.3033052</x:v>
      </x:c>
      <x:c r="K27" s="57" t="n">
        <x:f>AVERAGE(H27:J27)</x:f>
        <x:v>-0.3291507333333334</x:v>
      </x:c>
      <x:c r="L27" s="57" t="n">
        <x:v>-1.2308131</x:v>
      </x:c>
      <x:c r="M27" s="57" t="n">
        <x:v>-1.1791469</x:v>
      </x:c>
      <x:c r="N27" s="57" t="n">
        <x:v>-1.1322093</x:v>
      </x:c>
      <x:c r="O27" s="57" t="n">
        <x:f>AVERAGE(L27:N27)</x:f>
        <x:v>-1.1807231</x:v>
      </x:c>
      <x:c r="P27" s="59" t="n">
        <x:v>70120446896.8359</x:v>
      </x:c>
      <x:c r="Q27" s="59" t="n">
        <x:v>74815144163.89308</x:v>
      </x:c>
      <x:c r="R27" s="59" t="n">
        <x:v>82036510877.25989</x:v>
      </x:c>
      <x:c r="S27" s="59" t="n">
        <x:f>AVERAGE(P27:R27)</x:f>
        <x:v>75657367312.66296</x:v>
      </x:c>
      <x:c r="T27" s="61" t="n">
        <x:v>1489.11959777284</x:v>
      </x:c>
      <x:c r="U27" s="61" t="n">
        <x:v>1554.126103144233</x:v>
      </x:c>
      <x:c r="V27" s="61" t="n">
        <x:v>1667.484472308354</x:v>
      </x:c>
      <x:c r="W27" s="61" t="n">
        <x:f>AVERAGE(T27:V27)</x:f>
        <x:v>1570.2433910751424</x:v>
      </x:c>
      <x:c r="X27" s="57" t="n">
        <x:v>0.00766330802518443</x:v>
      </x:c>
      <x:c r="Y27" s="57" t="n">
        <x:v>0.00658707205828154</x:v>
      </x:c>
      <x:c r="Z27" s="57" t="n">
        <x:v>0</x:v>
      </x:c>
      <x:c r="AA27" s="57" t="n">
        <x:f>AVERAGE(X27:Z27)</x:f>
        <x:v>0.004750126694488657</x:v>
      </x:c>
      <x:c r="AB27" s="57" t="n">
        <x:v>0</x:v>
      </x:c>
      <x:c r="AC27" s="57" t="n">
        <x:v>0</x:v>
      </x:c>
      <x:c r="AD27" s="57" t="n">
        <x:v>0</x:v>
      </x:c>
      <x:c r="AE27" s="57" t="n">
        <x:f>AVERAGE(AB27:AD27)</x:f>
        <x:v>0</x:v>
      </x:c>
      <x:c r="AF27" s="57" t="n">
        <x:v>0</x:v>
      </x:c>
      <x:c r="AG27" s="57" t="n">
        <x:v>0</x:v>
      </x:c>
      <x:c r="AH27" s="57" t="n">
        <x:v>0</x:v>
      </x:c>
      <x:c r="AI27" s="57" t="n">
        <x:f>AVERAGE(AF27:AH27)</x:f>
        <x:v>0</x:v>
      </x:c>
      <x:c r="AJ27" s="57" t="n">
        <x:f>SUM(X27,AB27,AF27)</x:f>
        <x:v>0.00766330802518443</x:v>
      </x:c>
      <x:c r="AK27" s="57" t="n">
        <x:f>SUM(Y27,AC27,AG27)</x:f>
        <x:v>0.00658707205828154</x:v>
      </x:c>
      <x:c r="AL27" s="57" t="n">
        <x:f>SUM(Z27,AD27,AH27)</x:f>
        <x:v>0</x:v>
      </x:c>
      <x:c r="AM27" s="57" t="n">
        <x:f>AVERAGE(AJ27:AL27)</x:f>
        <x:v>0.004750126694488657</x:v>
      </x:c>
      <x:c r="AN27" s="35" t="str">
        <x:v>Original World Bank/WGI 2015-2017 data complete</x:v>
      </x:c>
      <x:c r="AO27" s="35" t="str">
        <x:v>World Bank WDI</x:v>
      </x:c>
      <x:c r="AP27" s="35" t="str">
        <x:v>World Bank WDI oil + gas + coal rents</x:v>
      </x:c>
      <x:c r="AQ27" s="35" t="str">
        <x:v>No</x:v>
      </x:c>
      <x:c r="AR27" s="35" t="n">
        <x:v>0</x:v>
      </x:c>
    </x:row>
    <x:row r="28">
      <x:c r="A28" s="54" t="str">
        <x:v>Lesotho</x:v>
      </x:c>
      <x:c r="B28" s="54" t="str">
        <x:v>莱索托</x:v>
      </x:c>
      <x:c r="C28" s="54" t="str">
        <x:v>LSO</x:v>
      </x:c>
      <x:c r="D28" s="54" t="str">
        <x:v>Balancing</x:v>
      </x:c>
      <x:c r="E28" s="54" t="str">
        <x:v>System-Deepening Archetype</x:v>
      </x:c>
      <x:c r="F28" s="54" t="str">
        <x:v>High stability</x:v>
      </x:c>
      <x:c r="G28" s="54"/>
      <x:c r="H28" s="57" t="n">
        <x:v>-0.56995</x:v>
      </x:c>
      <x:c r="I28" s="57" t="n">
        <x:v>-0.6209408</x:v>
      </x:c>
      <x:c r="J28" s="57" t="n">
        <x:v>-0.6330237</x:v>
      </x:c>
      <x:c r="K28" s="57" t="n">
        <x:f>AVERAGE(H28:J28)</x:f>
        <x:v>-0.6079715</x:v>
      </x:c>
      <x:c r="L28" s="57" t="n">
        <x:v>-0.2089387</x:v>
      </x:c>
      <x:c r="M28" s="57" t="n">
        <x:v>-0.2746129</x:v>
      </x:c>
      <x:c r="N28" s="57" t="n">
        <x:v>-0.2021614</x:v>
      </x:c>
      <x:c r="O28" s="57" t="n">
        <x:f>AVERAGE(L28:N28)</x:f>
        <x:v>-0.228571</x:v>
      </x:c>
      <x:c r="P28" s="59" t="n">
        <x:v>2359686724.538286</x:v>
      </x:c>
      <x:c r="Q28" s="59" t="n">
        <x:v>2114426452.201897</x:v>
      </x:c>
      <x:c r="R28" s="59" t="n">
        <x:v>2306741672.290062</x:v>
      </x:c>
      <x:c r="S28" s="59" t="n">
        <x:f>AVERAGE(P28:R28)</x:f>
        <x:v>2260284949.6767483</x:v>
      </x:c>
      <x:c r="T28" s="61" t="n">
        <x:v>1121.198513425182</x:v>
      </x:c>
      <x:c r="U28" s="61" t="n">
        <x:v>992.4918406784651</x:v>
      </x:c>
      <x:c r="V28" s="61" t="n">
        <x:v>1069.366732475424</x:v>
      </x:c>
      <x:c r="W28" s="61" t="n">
        <x:f>AVERAGE(T28:V28)</x:f>
        <x:v>1061.0190288596905</x:v>
      </x:c>
      <x:c r="X28" s="57" t="n">
        <x:v>0</x:v>
      </x:c>
      <x:c r="Y28" s="57" t="n">
        <x:v>0</x:v>
      </x:c>
      <x:c r="Z28" s="57" t="n">
        <x:v>0</x:v>
      </x:c>
      <x:c r="AA28" s="57" t="n">
        <x:f>AVERAGE(X28:Z28)</x:f>
        <x:v>0</x:v>
      </x:c>
      <x:c r="AB28" s="57" t="n">
        <x:v>0</x:v>
      </x:c>
      <x:c r="AC28" s="57" t="n">
        <x:v>0</x:v>
      </x:c>
      <x:c r="AD28" s="57" t="n">
        <x:v>0</x:v>
      </x:c>
      <x:c r="AE28" s="57" t="n">
        <x:f>AVERAGE(AB28:AD28)</x:f>
        <x:v>0</x:v>
      </x:c>
      <x:c r="AF28" s="57" t="n">
        <x:v>0</x:v>
      </x:c>
      <x:c r="AG28" s="57" t="n">
        <x:v>0</x:v>
      </x:c>
      <x:c r="AH28" s="57" t="n">
        <x:v>0</x:v>
      </x:c>
      <x:c r="AI28" s="57" t="n">
        <x:f>AVERAGE(AF28:AH28)</x:f>
        <x:v>0</x:v>
      </x:c>
      <x:c r="AJ28" s="57" t="n">
        <x:f>SUM(X28,AB28,AF28)</x:f>
        <x:v>0</x:v>
      </x:c>
      <x:c r="AK28" s="57" t="n">
        <x:f>SUM(Y28,AC28,AG28)</x:f>
        <x:v>0</x:v>
      </x:c>
      <x:c r="AL28" s="57" t="n">
        <x:f>SUM(Z28,AD28,AH28)</x:f>
        <x:v>0</x:v>
      </x:c>
      <x:c r="AM28" s="57" t="n">
        <x:f>AVERAGE(AJ28:AL28)</x:f>
        <x:v>0</x:v>
      </x:c>
      <x:c r="AN28" s="35" t="str">
        <x:v>Original World Bank/WGI 2015-2017 data complete</x:v>
      </x:c>
      <x:c r="AO28" s="35" t="str">
        <x:v>World Bank WDI</x:v>
      </x:c>
      <x:c r="AP28" s="35" t="str">
        <x:v>World Bank WDI oil + gas + coal rents</x:v>
      </x:c>
      <x:c r="AQ28" s="35" t="str">
        <x:v>No</x:v>
      </x:c>
      <x:c r="AR28" s="35" t="n">
        <x:v>0</x:v>
      </x:c>
    </x:row>
    <x:row r="29">
      <x:c r="A29" s="54" t="str">
        <x:v>Liberia</x:v>
      </x:c>
      <x:c r="B29" s="54" t="str">
        <x:v>利比里亚</x:v>
      </x:c>
      <x:c r="C29" s="54" t="str">
        <x:v>LBR</x:v>
      </x:c>
      <x:c r="D29" s="54" t="str">
        <x:v>Lagging</x:v>
      </x:c>
      <x:c r="E29" s="54" t="str">
        <x:v>Transition-Constrained Archetype</x:v>
      </x:c>
      <x:c r="F29" s="54" t="str">
        <x:v>Boundary-sensitive</x:v>
      </x:c>
      <x:c r="G29" s="54" t="str">
        <x:v>**</x:v>
      </x:c>
      <x:c r="H29" s="57" t="n">
        <x:v>-1.2026737</x:v>
      </x:c>
      <x:c r="I29" s="57" t="n">
        <x:v>-1.1576727</x:v>
      </x:c>
      <x:c r="J29" s="57" t="n">
        <x:v>-1.1579163</x:v>
      </x:c>
      <x:c r="K29" s="57" t="n">
        <x:f>AVERAGE(H29:J29)</x:f>
        <x:v>-1.1727542333333334</x:v>
      </x:c>
      <x:c r="L29" s="57" t="n">
        <x:v>-0.5851773</x:v>
      </x:c>
      <x:c r="M29" s="57" t="n">
        <x:v>-0.4531369</x:v>
      </x:c>
      <x:c r="N29" s="57" t="n">
        <x:v>-0.2701752</x:v>
      </x:c>
      <x:c r="O29" s="57" t="n">
        <x:f>AVERAGE(L29:N29)</x:f>
        <x:v>-0.43616313333333334</x:v>
      </x:c>
      <x:c r="P29" s="59" t="n">
        <x:v>3227075700</x:v>
      </x:c>
      <x:c r="Q29" s="59" t="n">
        <x:v>3398419600</x:v>
      </x:c>
      <x:c r="R29" s="59" t="n">
        <x:v>3390703400</x:v>
      </x:c>
      <x:c r="S29" s="59" t="n">
        <x:f>AVERAGE(P29:R29)</x:f>
        <x:v>3338732900</x:v>
      </x:c>
      <x:c r="T29" s="61" t="n">
        <x:v>692.590082351257</x:v>
      </x:c>
      <x:c r="U29" s="61" t="n">
        <x:v>714.6130631456588</x:v>
      </x:c>
      <x:c r="V29" s="61" t="n">
        <x:v>699.2690957274035</x:v>
      </x:c>
      <x:c r="W29" s="61" t="n">
        <x:f>AVERAGE(T29:V29)</x:f>
        <x:v>702.1574137414397</x:v>
      </x:c>
      <x:c r="X29" s="57" t="n">
        <x:v>0</x:v>
      </x:c>
      <x:c r="Y29" s="57" t="n">
        <x:v>0</x:v>
      </x:c>
      <x:c r="Z29" s="57" t="n">
        <x:v>0</x:v>
      </x:c>
      <x:c r="AA29" s="57" t="n">
        <x:f>AVERAGE(X29:Z29)</x:f>
        <x:v>0</x:v>
      </x:c>
      <x:c r="AB29" s="57" t="n">
        <x:v>0</x:v>
      </x:c>
      <x:c r="AC29" s="57" t="n">
        <x:v>0</x:v>
      </x:c>
      <x:c r="AD29" s="57" t="n">
        <x:v>0</x:v>
      </x:c>
      <x:c r="AE29" s="57" t="n">
        <x:f>AVERAGE(AB29:AD29)</x:f>
        <x:v>0</x:v>
      </x:c>
      <x:c r="AF29" s="57" t="n">
        <x:v>0</x:v>
      </x:c>
      <x:c r="AG29" s="57" t="n">
        <x:v>0</x:v>
      </x:c>
      <x:c r="AH29" s="57" t="n">
        <x:v>0</x:v>
      </x:c>
      <x:c r="AI29" s="57" t="n">
        <x:f>AVERAGE(AF29:AH29)</x:f>
        <x:v>0</x:v>
      </x:c>
      <x:c r="AJ29" s="57" t="n">
        <x:f>SUM(X29,AB29,AF29)</x:f>
        <x:v>0</x:v>
      </x:c>
      <x:c r="AK29" s="57" t="n">
        <x:f>SUM(Y29,AC29,AG29)</x:f>
        <x:v>0</x:v>
      </x:c>
      <x:c r="AL29" s="57" t="n">
        <x:f>SUM(Z29,AD29,AH29)</x:f>
        <x:v>0</x:v>
      </x:c>
      <x:c r="AM29" s="57" t="n">
        <x:f>AVERAGE(AJ29:AL29)</x:f>
        <x:v>0</x:v>
      </x:c>
      <x:c r="AN29" s="35" t="str">
        <x:v>Original World Bank/WGI 2015-2017 data complete</x:v>
      </x:c>
      <x:c r="AO29" s="35" t="str">
        <x:v>World Bank WDI</x:v>
      </x:c>
      <x:c r="AP29" s="35" t="str">
        <x:v>World Bank WDI oil + gas + coal rents</x:v>
      </x:c>
      <x:c r="AQ29" s="35" t="str">
        <x:v>No</x:v>
      </x:c>
      <x:c r="AR29" s="35" t="n">
        <x:v>0</x:v>
      </x:c>
    </x:row>
    <x:row r="30">
      <x:c r="A30" s="54" t="str">
        <x:v>Libya</x:v>
      </x:c>
      <x:c r="B30" s="54" t="str">
        <x:v>利比亚</x:v>
      </x:c>
      <x:c r="C30" s="54" t="str">
        <x:v>LBY</x:v>
      </x:c>
      <x:c r="D30" s="54" t="str">
        <x:v>Lagging</x:v>
      </x:c>
      <x:c r="E30" s="54" t="str">
        <x:v>Transition-Constrained Archetype</x:v>
      </x:c>
      <x:c r="F30" s="54" t="str">
        <x:v>High stability</x:v>
      </x:c>
      <x:c r="G30" s="54"/>
      <x:c r="H30" s="57" t="n">
        <x:v>-1.6501127</x:v>
      </x:c>
      <x:c r="I30" s="57" t="n">
        <x:v>-1.666709</x:v>
      </x:c>
      <x:c r="J30" s="57" t="n">
        <x:v>-1.5287142</x:v>
      </x:c>
      <x:c r="K30" s="57" t="n">
        <x:f>AVERAGE(H30:J30)</x:f>
        <x:v>-1.6151786333333333</x:v>
      </x:c>
      <x:c r="L30" s="57" t="n">
        <x:v>-2.2100778</x:v>
      </x:c>
      <x:c r="M30" s="57" t="n">
        <x:v>-2.2576529</x:v>
      </x:c>
      <x:c r="N30" s="57" t="n">
        <x:v>-2.2943152</x:v>
      </x:c>
      <x:c r="O30" s="57" t="n">
        <x:f>AVERAGE(L30:N30)</x:f>
        <x:v>-2.2540153000000003</x:v>
      </x:c>
      <x:c r="P30" s="59" t="n">
        <x:v>48717501321.30524</x:v>
      </x:c>
      <x:c r="Q30" s="59" t="n">
        <x:v>49912073701.298</x:v>
      </x:c>
      <x:c r="R30" s="59" t="n">
        <x:v>67157452181.77383</x:v>
      </x:c>
      <x:c r="S30" s="59" t="n">
        <x:f>AVERAGE(P30:R30)</x:f>
        <x:v>55262342401.45902</x:v>
      </x:c>
      <x:c r="T30" s="61" t="n">
        <x:v>7458.489177563744</x:v>
      </x:c>
      <x:c r="U30" s="61" t="n">
        <x:v>7525.802993082159</x:v>
      </x:c>
      <x:c r="V30" s="61" t="n">
        <x:v>9965.832367297568</x:v>
      </x:c>
      <x:c r="W30" s="61" t="n">
        <x:f>AVERAGE(T30:V30)</x:f>
        <x:v>8316.70817931449</x:v>
      </x:c>
      <x:c r="X30" s="57" t="n">
        <x:v>14.4264442000075</x:v>
      </x:c>
      <x:c r="Y30" s="57" t="n">
        <x:v>10.7931417666286</x:v>
      </x:c>
      <x:c r="Z30" s="57" t="n">
        <x:v>20.9466167504799</x:v>
      </x:c>
      <x:c r="AA30" s="57" t="n">
        <x:f>AVERAGE(X30:Z30)</x:f>
        <x:v>15.388734239038667</x:v>
      </x:c>
      <x:c r="AB30" s="57" t="n">
        <x:v>1.86281114357274</x:v>
      </x:c>
      <x:c r="AC30" s="57" t="n">
        <x:v>1.37802629270615</x:v>
      </x:c>
      <x:c r="AD30" s="57" t="n">
        <x:v>1.13858543021991</x:v>
      </x:c>
      <x:c r="AE30" s="57" t="n">
        <x:f>AVERAGE(AB30:AD30)</x:f>
        <x:v>1.4598076221662666</x:v>
      </x:c>
      <x:c r="AF30" s="57" t="n">
        <x:v>0</x:v>
      </x:c>
      <x:c r="AG30" s="57" t="n">
        <x:v>0</x:v>
      </x:c>
      <x:c r="AH30" s="57" t="n">
        <x:v>0</x:v>
      </x:c>
      <x:c r="AI30" s="57" t="n">
        <x:f>AVERAGE(AF30:AH30)</x:f>
        <x:v>0</x:v>
      </x:c>
      <x:c r="AJ30" s="57" t="n">
        <x:f>SUM(X30,AB30,AF30)</x:f>
        <x:v>16.28925534358024</x:v>
      </x:c>
      <x:c r="AK30" s="57" t="n">
        <x:f>SUM(Y30,AC30,AG30)</x:f>
        <x:v>12.171168059334748</x:v>
      </x:c>
      <x:c r="AL30" s="57" t="n">
        <x:f>SUM(Z30,AD30,AH30)</x:f>
        <x:v>22.08520218069981</x:v>
      </x:c>
      <x:c r="AM30" s="57" t="n">
        <x:f>AVERAGE(AJ30:AL30)</x:f>
        <x:v>16.848541861204932</x:v>
      </x:c>
      <x:c r="AN30" s="35" t="str">
        <x:v>Original World Bank/WGI 2015-2017 data complete</x:v>
      </x:c>
      <x:c r="AO30" s="35" t="str">
        <x:v>World Bank WDI</x:v>
      </x:c>
      <x:c r="AP30" s="35" t="str">
        <x:v>World Bank WDI oil + gas + coal rents</x:v>
      </x:c>
      <x:c r="AQ30" s="35" t="str">
        <x:v>No</x:v>
      </x:c>
      <x:c r="AR30" s="35" t="n">
        <x:v>0</x:v>
      </x:c>
    </x:row>
    <x:row r="31">
      <x:c r="A31" s="54" t="str">
        <x:v>Madagascar</x:v>
      </x:c>
      <x:c r="B31" s="54" t="str">
        <x:v>马达加斯加</x:v>
      </x:c>
      <x:c r="C31" s="54" t="str">
        <x:v>MDG</x:v>
      </x:c>
      <x:c r="D31" s="54" t="str">
        <x:v>Lagging</x:v>
      </x:c>
      <x:c r="E31" s="54" t="str">
        <x:v>Transition-Constrained Archetype</x:v>
      </x:c>
      <x:c r="F31" s="54" t="str">
        <x:v>Moderate stability</x:v>
      </x:c>
      <x:c r="G31" s="54"/>
      <x:c r="H31" s="57" t="n">
        <x:v>-0.9995333999999999</x:v>
      </x:c>
      <x:c r="I31" s="57" t="n">
        <x:v>-0.8355651</x:v>
      </x:c>
      <x:c r="J31" s="57" t="n">
        <x:v>-0.819978</x:v>
      </x:c>
      <x:c r="K31" s="57" t="n">
        <x:f>AVERAGE(H31:J31)</x:f>
        <x:v>-0.8850254999999999</x:v>
      </x:c>
      <x:c r="L31" s="57" t="n">
        <x:v>-0.5263576999999999</x:v>
      </x:c>
      <x:c r="M31" s="57" t="n">
        <x:v>-0.4661162</x:v>
      </x:c>
      <x:c r="N31" s="57" t="n">
        <x:v>-0.5350161999999999</x:v>
      </x:c>
      <x:c r="O31" s="57" t="n">
        <x:f>AVERAGE(L31:N31)</x:f>
        <x:v>-0.5091633666666666</x:v>
      </x:c>
      <x:c r="P31" s="59" t="n">
        <x:v>11323020701.30169</x:v>
      </x:c>
      <x:c r="Q31" s="59" t="n">
        <x:v>11848613858.442</x:v>
      </x:c>
      <x:c r="R31" s="59" t="n">
        <x:v>13176313593.55093</x:v>
      </x:c>
      <x:c r="S31" s="59" t="n">
        <x:f>AVERAGE(P31:R31)</x:f>
        <x:v>12115982717.764872</x:v>
      </x:c>
      <x:c r="T31" s="61" t="n">
        <x:v>445.3200694805676</x:v>
      </x:c>
      <x:c r="U31" s="61" t="n">
        <x:v>453.9707145224634</x:v>
      </x:c>
      <x:c r="V31" s="61" t="n">
        <x:v>491.8668487189288</x:v>
      </x:c>
      <x:c r="W31" s="61" t="n">
        <x:f>AVERAGE(T31:V31)</x:f>
        <x:v>463.7192109073199</x:v>
      </x:c>
      <x:c r="X31" s="57" t="n">
        <x:v>0.065733337532039</x:v>
      </x:c>
      <x:c r="Y31" s="57" t="n">
        <x:v>0.058311086080069</x:v>
      </x:c>
      <x:c r="Z31" s="57" t="n">
        <x:v>0.0955254362506415</x:v>
      </x:c>
      <x:c r="AA31" s="57" t="n">
        <x:f>AVERAGE(X31:Z31)</x:f>
        <x:v>0.07318995328758317</x:v>
      </x:c>
      <x:c r="AB31" s="57" t="n">
        <x:v>0</x:v>
      </x:c>
      <x:c r="AC31" s="57" t="n">
        <x:v>0</x:v>
      </x:c>
      <x:c r="AD31" s="57" t="n">
        <x:v>0</x:v>
      </x:c>
      <x:c r="AE31" s="57" t="n">
        <x:f>AVERAGE(AB31:AD31)</x:f>
        <x:v>0</x:v>
      </x:c>
      <x:c r="AF31" s="57" t="n">
        <x:v>0.000163962299589566</x:v>
      </x:c>
      <x:c r="AG31" s="57" t="n">
        <x:v>0.000131585329685599</x:v>
      </x:c>
      <x:c r="AH31" s="57" t="n">
        <x:v>0.0000073058283026749</x:v>
      </x:c>
      <x:c r="AI31" s="57" t="n">
        <x:f>AVERAGE(AF31:AH31)</x:f>
        <x:v>0.00010095115252594664</x:v>
      </x:c>
      <x:c r="AJ31" s="57" t="n">
        <x:f>SUM(X31,AB31,AF31)</x:f>
        <x:v>0.06589729983162856</x:v>
      </x:c>
      <x:c r="AK31" s="57" t="n">
        <x:f>SUM(Y31,AC31,AG31)</x:f>
        <x:v>0.0584426714097546</x:v>
      </x:c>
      <x:c r="AL31" s="57" t="n">
        <x:f>SUM(Z31,AD31,AH31)</x:f>
        <x:v>0.09553274207894417</x:v>
      </x:c>
      <x:c r="AM31" s="57" t="n">
        <x:f>AVERAGE(AJ31:AL31)</x:f>
        <x:v>0.0732909044401091</x:v>
      </x:c>
      <x:c r="AN31" s="35" t="str">
        <x:v>Original World Bank/WGI 2015-2017 data complete</x:v>
      </x:c>
      <x:c r="AO31" s="35" t="str">
        <x:v>World Bank WDI</x:v>
      </x:c>
      <x:c r="AP31" s="35" t="str">
        <x:v>World Bank WDI oil + gas + coal rents</x:v>
      </x:c>
      <x:c r="AQ31" s="35" t="str">
        <x:v>No</x:v>
      </x:c>
      <x:c r="AR31" s="35" t="n">
        <x:v>0</x:v>
      </x:c>
    </x:row>
    <x:row r="32">
      <x:c r="A32" s="54" t="str">
        <x:v>Malawi</x:v>
      </x:c>
      <x:c r="B32" s="54" t="str">
        <x:v>马拉维</x:v>
      </x:c>
      <x:c r="C32" s="54" t="str">
        <x:v>MWI</x:v>
      </x:c>
      <x:c r="D32" s="54" t="str">
        <x:v>Lagging</x:v>
      </x:c>
      <x:c r="E32" s="54" t="str">
        <x:v>Transition-Constrained Archetype</x:v>
      </x:c>
      <x:c r="F32" s="54" t="str">
        <x:v>High stability</x:v>
      </x:c>
      <x:c r="G32" s="54"/>
      <x:c r="H32" s="57" t="n">
        <x:v>-0.5855030999999999</x:v>
      </x:c>
      <x:c r="I32" s="57" t="n">
        <x:v>-0.6089526</x:v>
      </x:c>
      <x:c r="J32" s="57" t="n">
        <x:v>-0.5782225</x:v>
      </x:c>
      <x:c r="K32" s="57" t="n">
        <x:f>AVERAGE(H32:J32)</x:f>
        <x:v>-0.5908927333333333</x:v>
      </x:c>
      <x:c r="L32" s="57" t="n">
        <x:v>-0.0522558</x:v>
      </x:c>
      <x:c r="M32" s="57" t="n">
        <x:v>-0.2578002</x:v>
      </x:c>
      <x:c r="N32" s="57" t="n">
        <x:v>-0.3130009</x:v>
      </x:c>
      <x:c r="O32" s="57" t="n">
        <x:f>AVERAGE(L32:N32)</x:f>
        <x:v>-0.20768563333333334</x:v>
      </x:c>
      <x:c r="P32" s="59" t="n">
        <x:v>9219474379.315342</x:v>
      </x:c>
      <x:c r="Q32" s="59" t="n">
        <x:v>7909868618.46366</x:v>
      </x:c>
      <x:c r="R32" s="59" t="n">
        <x:v>8943543793.583902</x:v>
      </x:c>
      <x:c r="S32" s="59" t="n">
        <x:f>AVERAGE(P32:R32)</x:f>
        <x:v>8690962263.787636</x:v>
      </x:c>
      <x:c r="T32" s="61" t="n">
        <x:v>539.605363240686</x:v>
      </x:c>
      <x:c r="U32" s="61" t="n">
        <x:v>450.5061055107187</x:v>
      </x:c>
      <x:c r="V32" s="61" t="n">
        <x:v>495.7696833671653</x:v>
      </x:c>
      <x:c r="W32" s="61" t="n">
        <x:f>AVERAGE(T32:V32)</x:f>
        <x:v>495.2937173728567</x:v>
      </x:c>
      <x:c r="X32" s="57" t="n">
        <x:v>0.0421572569811812</x:v>
      </x:c>
      <x:c r="Y32" s="57" t="n">
        <x:v>0.0544029137872334</x:v>
      </x:c>
      <x:c r="Z32" s="57" t="n">
        <x:v>0</x:v>
      </x:c>
      <x:c r="AA32" s="57" t="n">
        <x:f>AVERAGE(X32:Z32)</x:f>
        <x:v>0.032186723589471535</x:v>
      </x:c>
      <x:c r="AB32" s="57" t="n">
        <x:v>0</x:v>
      </x:c>
      <x:c r="AC32" s="57" t="n">
        <x:v>0</x:v>
      </x:c>
      <x:c r="AD32" s="57" t="n">
        <x:v>0</x:v>
      </x:c>
      <x:c r="AE32" s="57" t="n">
        <x:f>AVERAGE(AB32:AD32)</x:f>
        <x:v>0</x:v>
      </x:c>
      <x:c r="AF32" s="57" t="n">
        <x:v>0.0184546431382984</x:v>
      </x:c>
      <x:c r="AG32" s="57" t="n">
        <x:v>0.0179067532663158</x:v>
      </x:c>
      <x:c r="AH32" s="57" t="n">
        <x:v>0.0201542594156459</x:v>
      </x:c>
      <x:c r="AI32" s="57" t="n">
        <x:f>AVERAGE(AF32:AH32)</x:f>
        <x:v>0.0188385519400867</x:v>
      </x:c>
      <x:c r="AJ32" s="57" t="n">
        <x:f>SUM(X32,AB32,AF32)</x:f>
        <x:v>0.0606119001194796</x:v>
      </x:c>
      <x:c r="AK32" s="57" t="n">
        <x:f>SUM(Y32,AC32,AG32)</x:f>
        <x:v>0.0723096670535492</x:v>
      </x:c>
      <x:c r="AL32" s="57" t="n">
        <x:f>SUM(Z32,AD32,AH32)</x:f>
        <x:v>0.0201542594156459</x:v>
      </x:c>
      <x:c r="AM32" s="57" t="n">
        <x:f>AVERAGE(AJ32:AL32)</x:f>
        <x:v>0.05102527552955823</x:v>
      </x:c>
      <x:c r="AN32" s="35" t="str">
        <x:v>Original World Bank/WGI 2015-2017 data complete</x:v>
      </x:c>
      <x:c r="AO32" s="35" t="str">
        <x:v>World Bank WDI</x:v>
      </x:c>
      <x:c r="AP32" s="35" t="str">
        <x:v>World Bank WDI oil + gas + coal rents</x:v>
      </x:c>
      <x:c r="AQ32" s="35" t="str">
        <x:v>No</x:v>
      </x:c>
      <x:c r="AR32" s="35" t="n">
        <x:v>0</x:v>
      </x:c>
    </x:row>
    <x:row r="33">
      <x:c r="A33" s="54" t="str">
        <x:v>Mali</x:v>
      </x:c>
      <x:c r="B33" s="54" t="str">
        <x:v>马里</x:v>
      </x:c>
      <x:c r="C33" s="54" t="str">
        <x:v>MLI</x:v>
      </x:c>
      <x:c r="D33" s="54" t="str">
        <x:v>Balancing</x:v>
      </x:c>
      <x:c r="E33" s="54" t="str">
        <x:v>System-Deepening Archetype</x:v>
      </x:c>
      <x:c r="F33" s="54" t="str">
        <x:v>High stability</x:v>
      </x:c>
      <x:c r="G33" s="54"/>
      <x:c r="H33" s="57" t="n">
        <x:v>-0.9383383999999999</x:v>
      </x:c>
      <x:c r="I33" s="57" t="n">
        <x:v>-0.9296139999999999</x:v>
      </x:c>
      <x:c r="J33" s="57" t="n">
        <x:v>-0.8719878999999999</x:v>
      </x:c>
      <x:c r="K33" s="57" t="n">
        <x:f>AVERAGE(H33:J33)</x:f>
        <x:v>-0.9133134333333333</x:v>
      </x:c>
      <x:c r="L33" s="57" t="n">
        <x:v>-1.5535933</x:v>
      </x:c>
      <x:c r="M33" s="57" t="n">
        <x:v>-1.5338819</x:v>
      </x:c>
      <x:c r="N33" s="57" t="n">
        <x:v>-1.7186414</x:v>
      </x:c>
      <x:c r="O33" s="57" t="n">
        <x:f>AVERAGE(L33:N33)</x:f>
        <x:v>-1.6020388666666667</x:v>
      </x:c>
      <x:c r="P33" s="59" t="n">
        <x:v>15583181170.41047</x:v>
      </x:c>
      <x:c r="Q33" s="59" t="n">
        <x:v>16743796799.83289</x:v>
      </x:c>
      <x:c r="R33" s="59" t="n">
        <x:v>18308362040.05206</x:v>
      </x:c>
      <x:c r="S33" s="59" t="n">
        <x:f>AVERAGE(P33:R33)</x:f>
        <x:v>16878446670.098473</x:v>
      </x:c>
      <x:c r="T33" s="61" t="n">
        <x:v>838.1198694010295</x:v>
      </x:c>
      <x:c r="U33" s="61" t="n">
        <x:v>872.4685871716532</x:v>
      </x:c>
      <x:c r="V33" s="61" t="n">
        <x:v>924.0575316922835</x:v>
      </x:c>
      <x:c r="W33" s="61" t="n">
        <x:f>AVERAGE(T33:V33)</x:f>
        <x:v>878.2153294216555</x:v>
      </x:c>
      <x:c r="X33" s="57" t="n">
        <x:v>0</x:v>
      </x:c>
      <x:c r="Y33" s="57" t="n">
        <x:v>0</x:v>
      </x:c>
      <x:c r="Z33" s="57" t="n">
        <x:v>0</x:v>
      </x:c>
      <x:c r="AA33" s="57" t="n">
        <x:f>AVERAGE(X33:Z33)</x:f>
        <x:v>0</x:v>
      </x:c>
      <x:c r="AB33" s="57" t="n">
        <x:v>0</x:v>
      </x:c>
      <x:c r="AC33" s="57" t="n">
        <x:v>0</x:v>
      </x:c>
      <x:c r="AD33" s="57" t="n">
        <x:v>0</x:v>
      </x:c>
      <x:c r="AE33" s="57" t="n">
        <x:f>AVERAGE(AB33:AD33)</x:f>
        <x:v>0</x:v>
      </x:c>
      <x:c r="AF33" s="57" t="n">
        <x:v>0</x:v>
      </x:c>
      <x:c r="AG33" s="57" t="n">
        <x:v>0</x:v>
      </x:c>
      <x:c r="AH33" s="57" t="n">
        <x:v>0</x:v>
      </x:c>
      <x:c r="AI33" s="57" t="n">
        <x:f>AVERAGE(AF33:AH33)</x:f>
        <x:v>0</x:v>
      </x:c>
      <x:c r="AJ33" s="57" t="n">
        <x:f>SUM(X33,AB33,AF33)</x:f>
        <x:v>0</x:v>
      </x:c>
      <x:c r="AK33" s="57" t="n">
        <x:f>SUM(Y33,AC33,AG33)</x:f>
        <x:v>0</x:v>
      </x:c>
      <x:c r="AL33" s="57" t="n">
        <x:f>SUM(Z33,AD33,AH33)</x:f>
        <x:v>0</x:v>
      </x:c>
      <x:c r="AM33" s="57" t="n">
        <x:f>AVERAGE(AJ33:AL33)</x:f>
        <x:v>0</x:v>
      </x:c>
      <x:c r="AN33" s="35" t="str">
        <x:v>Original World Bank/WGI 2015-2017 data complete</x:v>
      </x:c>
      <x:c r="AO33" s="35" t="str">
        <x:v>World Bank WDI</x:v>
      </x:c>
      <x:c r="AP33" s="35" t="str">
        <x:v>World Bank WDI oil + gas + coal rents</x:v>
      </x:c>
      <x:c r="AQ33" s="35" t="str">
        <x:v>No</x:v>
      </x:c>
      <x:c r="AR33" s="35" t="n">
        <x:v>0</x:v>
      </x:c>
    </x:row>
    <x:row r="34">
      <x:c r="A34" s="54" t="str">
        <x:v>Mauritania</x:v>
      </x:c>
      <x:c r="B34" s="54" t="str">
        <x:v>毛里塔尼亚</x:v>
      </x:c>
      <x:c r="C34" s="54" t="str">
        <x:v>MRT</x:v>
      </x:c>
      <x:c r="D34" s="54" t="str">
        <x:v>Lagging</x:v>
      </x:c>
      <x:c r="E34" s="54" t="str">
        <x:v>Transition-Constrained Archetype</x:v>
      </x:c>
      <x:c r="F34" s="54" t="str">
        <x:v>Boundary-sensitive</x:v>
      </x:c>
      <x:c r="G34" s="54" t="str">
        <x:v>**</x:v>
      </x:c>
      <x:c r="H34" s="57" t="n">
        <x:v>-0.9313712</x:v>
      </x:c>
      <x:c r="I34" s="57" t="n">
        <x:v>-0.8954384999999999</x:v>
      </x:c>
      <x:c r="J34" s="57" t="n">
        <x:v>-0.8206663</x:v>
      </x:c>
      <x:c r="K34" s="57" t="n">
        <x:f>AVERAGE(H34:J34)</x:f>
        <x:v>-0.8824919999999999</x:v>
      </x:c>
      <x:c r="L34" s="57" t="n">
        <x:v>-0.7765101999999999</x:v>
      </x:c>
      <x:c r="M34" s="57" t="n">
        <x:v>-0.9065538</x:v>
      </x:c>
      <x:c r="N34" s="57" t="n">
        <x:v>-0.7637873</x:v>
      </x:c>
      <x:c r="O34" s="57" t="n">
        <x:f>AVERAGE(L34:N34)</x:f>
        <x:v>-0.8156170999999999</x:v>
      </x:c>
      <x:c r="P34" s="59" t="n">
        <x:v>6182303676.551437</x:v>
      </x:c>
      <x:c r="Q34" s="59" t="n">
        <x:v>6407900701.258286</x:v>
      </x:c>
      <x:c r="R34" s="59" t="n">
        <x:v>6812472965.338677</x:v>
      </x:c>
      <x:c r="S34" s="59" t="n">
        <x:f>AVERAGE(P34:R34)</x:f>
        <x:v>6467559114.3828</x:v>
      </x:c>
      <x:c r="T34" s="61" t="n">
        <x:v>1558.842054734161</x:v>
      </x:c>
      <x:c r="U34" s="61" t="n">
        <x:v>1568.00551190332</x:v>
      </x:c>
      <x:c r="V34" s="61" t="n">
        <x:v>1617.934015422666</x:v>
      </x:c>
      <x:c r="W34" s="61" t="n">
        <x:f>AVERAGE(T34:V34)</x:f>
        <x:v>1581.5938606867155</x:v>
      </x:c>
      <x:c r="X34" s="57" t="n">
        <x:v>0.513819837621705</x:v>
      </x:c>
      <x:c r="Y34" s="57" t="n">
        <x:v>0.407544888538057</x:v>
      </x:c>
      <x:c r="Z34" s="57" t="n">
        <x:v>0.541318938190263</x:v>
      </x:c>
      <x:c r="AA34" s="57" t="n">
        <x:f>AVERAGE(X34:Z34)</x:f>
        <x:v>0.4875612214500083</x:v>
      </x:c>
      <x:c r="AB34" s="57" t="n">
        <x:v>0</x:v>
      </x:c>
      <x:c r="AC34" s="57" t="n">
        <x:v>0</x:v>
      </x:c>
      <x:c r="AD34" s="57" t="n">
        <x:v>0</x:v>
      </x:c>
      <x:c r="AE34" s="57" t="n">
        <x:f>AVERAGE(AB34:AD34)</x:f>
        <x:v>0</x:v>
      </x:c>
      <x:c r="AF34" s="57" t="n">
        <x:v>1.02486804494166</x:v>
      </x:c>
      <x:c r="AG34" s="57" t="n">
        <x:v>0.920132418687253</x:v>
      </x:c>
      <x:c r="AH34" s="57" t="n">
        <x:v>1.25601532337934</x:v>
      </x:c>
      <x:c r="AI34" s="57" t="n">
        <x:f>AVERAGE(AF34:AH34)</x:f>
        <x:v>1.0670052623360844</x:v>
      </x:c>
      <x:c r="AJ34" s="57" t="n">
        <x:f>SUM(X34,AB34,AF34)</x:f>
        <x:v>1.538687882563365</x:v>
      </x:c>
      <x:c r="AK34" s="57" t="n">
        <x:f>SUM(Y34,AC34,AG34)</x:f>
        <x:v>1.32767730722531</x:v>
      </x:c>
      <x:c r="AL34" s="57" t="n">
        <x:f>SUM(Z34,AD34,AH34)</x:f>
        <x:v>1.797334261569603</x:v>
      </x:c>
      <x:c r="AM34" s="57" t="n">
        <x:f>AVERAGE(AJ34:AL34)</x:f>
        <x:v>1.5545664837860926</x:v>
      </x:c>
      <x:c r="AN34" s="35" t="str">
        <x:v>Original World Bank/WGI 2015-2017 data complete</x:v>
      </x:c>
      <x:c r="AO34" s="35" t="str">
        <x:v>World Bank WDI</x:v>
      </x:c>
      <x:c r="AP34" s="35" t="str">
        <x:v>World Bank WDI oil + gas + coal rents</x:v>
      </x:c>
      <x:c r="AQ34" s="35" t="str">
        <x:v>No</x:v>
      </x:c>
      <x:c r="AR34" s="35" t="n">
        <x:v>0</x:v>
      </x:c>
    </x:row>
    <x:row r="35">
      <x:c r="A35" s="54" t="str">
        <x:v>Mauritius</x:v>
      </x:c>
      <x:c r="B35" s="54" t="str">
        <x:v>毛里求斯</x:v>
      </x:c>
      <x:c r="C35" s="54" t="str">
        <x:v>MUS</x:v>
      </x:c>
      <x:c r="D35" s="54" t="str">
        <x:v>Lagging</x:v>
      </x:c>
      <x:c r="E35" s="54" t="str">
        <x:v>Transition-Constrained Archetype</x:v>
      </x:c>
      <x:c r="F35" s="54" t="str">
        <x:v>Boundary-sensitive</x:v>
      </x:c>
      <x:c r="G35" s="54" t="str">
        <x:v>**</x:v>
      </x:c>
      <x:c r="H35" s="57" t="n">
        <x:v>1.0592368</x:v>
      </x:c>
      <x:c r="I35" s="57" t="n">
        <x:v>1.1005388</x:v>
      </x:c>
      <x:c r="J35" s="57" t="n">
        <x:v>1.0288458</x:v>
      </x:c>
      <x:c r="K35" s="57" t="n">
        <x:f>AVERAGE(H35:J35)</x:f>
        <x:v>1.0628738</x:v>
      </x:c>
      <x:c r="L35" s="57" t="n">
        <x:v>1.0248107</x:v>
      </x:c>
      <x:c r="M35" s="57" t="n">
        <x:v>1.0313567</x:v>
      </x:c>
      <x:c r="N35" s="57" t="n">
        <x:v>1.0144918</x:v>
      </x:c>
      <x:c r="O35" s="57" t="n">
        <x:f>AVERAGE(L35:N35)</x:f>
        <x:v>1.0235530666666666</x:v>
      </x:c>
      <x:c r="P35" s="59" t="n">
        <x:v>12162211503.0793</x:v>
      </x:c>
      <x:c r="Q35" s="59" t="n">
        <x:v>12757680846.56629</x:v>
      </x:c>
      <x:c r="R35" s="59" t="n">
        <x:v>13896938315.27993</x:v>
      </x:c>
      <x:c r="S35" s="59" t="n">
        <x:f>AVERAGE(P35:R35)</x:f>
        <x:v>12938943554.975174</x:v>
      </x:c>
      <x:c r="T35" s="61" t="n">
        <x:v>9630.543783750698</x:v>
      </x:c>
      <x:c r="U35" s="61" t="n">
        <x:v>10095.1225574156</x:v>
      </x:c>
      <x:c r="V35" s="61" t="n">
        <x:v>10986.70340930054</x:v>
      </x:c>
      <x:c r="W35" s="61" t="n">
        <x:f>AVERAGE(T35:V35)</x:f>
        <x:v>10237.456583488945</x:v>
      </x:c>
      <x:c r="X35" s="57" t="n">
        <x:v>0.0268410183705881</x:v>
      </x:c>
      <x:c r="Y35" s="57" t="n">
        <x:v>0.0234690891049759</x:v>
      </x:c>
      <x:c r="Z35" s="57" t="n">
        <x:v>0</x:v>
      </x:c>
      <x:c r="AA35" s="57" t="n">
        <x:f>AVERAGE(X35:Z35)</x:f>
        <x:v>0.016770035825188</x:v>
      </x:c>
      <x:c r="AB35" s="57" t="n">
        <x:v>0</x:v>
      </x:c>
      <x:c r="AC35" s="57" t="n">
        <x:v>0</x:v>
      </x:c>
      <x:c r="AD35" s="57" t="n">
        <x:v>0</x:v>
      </x:c>
      <x:c r="AE35" s="57" t="n">
        <x:f>AVERAGE(AB35:AD35)</x:f>
        <x:v>0</x:v>
      </x:c>
      <x:c r="AF35" s="57" t="n">
        <x:v>0</x:v>
      </x:c>
      <x:c r="AG35" s="57" t="n">
        <x:v>0</x:v>
      </x:c>
      <x:c r="AH35" s="57" t="n">
        <x:v>0</x:v>
      </x:c>
      <x:c r="AI35" s="57" t="n">
        <x:f>AVERAGE(AF35:AH35)</x:f>
        <x:v>0</x:v>
      </x:c>
      <x:c r="AJ35" s="57" t="n">
        <x:f>SUM(X35,AB35,AF35)</x:f>
        <x:v>0.0268410183705881</x:v>
      </x:c>
      <x:c r="AK35" s="57" t="n">
        <x:f>SUM(Y35,AC35,AG35)</x:f>
        <x:v>0.0234690891049759</x:v>
      </x:c>
      <x:c r="AL35" s="57" t="n">
        <x:f>SUM(Z35,AD35,AH35)</x:f>
        <x:v>0</x:v>
      </x:c>
      <x:c r="AM35" s="57" t="n">
        <x:f>AVERAGE(AJ35:AL35)</x:f>
        <x:v>0.016770035825188</x:v>
      </x:c>
      <x:c r="AN35" s="35" t="str">
        <x:v>Original World Bank/WGI 2015-2017 data complete</x:v>
      </x:c>
      <x:c r="AO35" s="35" t="str">
        <x:v>World Bank WDI</x:v>
      </x:c>
      <x:c r="AP35" s="35" t="str">
        <x:v>World Bank WDI oil + gas + coal rents</x:v>
      </x:c>
      <x:c r="AQ35" s="35" t="str">
        <x:v>No</x:v>
      </x:c>
      <x:c r="AR35" s="35" t="n">
        <x:v>0</x:v>
      </x:c>
    </x:row>
    <x:row r="36">
      <x:c r="A36" s="54" t="str">
        <x:v>Morocco</x:v>
      </x:c>
      <x:c r="B36" s="54" t="str">
        <x:v>摩洛哥</x:v>
      </x:c>
      <x:c r="C36" s="54" t="str">
        <x:v>MAR</x:v>
      </x:c>
      <x:c r="D36" s="54" t="str">
        <x:v>Leading</x:v>
      </x:c>
      <x:c r="E36" s="54" t="str">
        <x:v>Scale-and-Momentum Leadership Archetype</x:v>
      </x:c>
      <x:c r="F36" s="54" t="str">
        <x:v>Moderate stability</x:v>
      </x:c>
      <x:c r="G36" s="54"/>
      <x:c r="H36" s="57" t="n">
        <x:v>-0.2363813</x:v>
      </x:c>
      <x:c r="I36" s="57" t="n">
        <x:v>-0.1396764</x:v>
      </x:c>
      <x:c r="J36" s="57" t="n">
        <x:v>-0.2631327</x:v>
      </x:c>
      <x:c r="K36" s="57" t="n">
        <x:f>AVERAGE(H36:J36)</x:f>
        <x:v>-0.21306346666666665</x:v>
      </x:c>
      <x:c r="L36" s="57" t="n">
        <x:v>-0.4546654</x:v>
      </x:c>
      <x:c r="M36" s="57" t="n">
        <x:v>-0.4710854</x:v>
      </x:c>
      <x:c r="N36" s="57" t="n">
        <x:v>-0.5065227</x:v>
      </x:c>
      <x:c r="O36" s="57" t="n">
        <x:f>AVERAGE(L36:N36)</x:f>
        <x:v>-0.4774245</x:v>
      </x:c>
      <x:c r="P36" s="59" t="n">
        <x:v>110413823841.5919</x:v>
      </x:c>
      <x:c r="Q36" s="59" t="n">
        <x:v>111572947004.9175</x:v>
      </x:c>
      <x:c r="R36" s="59" t="n">
        <x:v>118540573367.8443</x:v>
      </x:c>
      <x:c r="S36" s="59" t="n">
        <x:f>AVERAGE(P36:R36)</x:f>
        <x:v>113509114738.1179</x:v>
      </x:c>
      <x:c r="T36" s="61" t="n">
        <x:v>3146.24780273438</x:v>
      </x:c>
      <x:c r="U36" s="61" t="n">
        <x:v>3140.85546875</x:v>
      </x:c>
      <x:c r="V36" s="61" t="n">
        <x:v>3296.52661132813</x:v>
      </x:c>
      <x:c r="W36" s="61" t="n">
        <x:f>AVERAGE(T36:V36)</x:f>
        <x:v>3194.543294270837</x:v>
      </x:c>
      <x:c r="X36" s="57" t="n">
        <x:v>0.00142730898853635</x:v>
      </x:c>
      <x:c r="Y36" s="57" t="n">
        <x:v>0.00113281093648473</x:v>
      </x:c>
      <x:c r="Z36" s="57" t="n">
        <x:v>0.00131078372177982</x:v>
      </x:c>
      <x:c r="AA36" s="57" t="n">
        <x:f>AVERAGE(X36:Z36)</x:f>
        <x:v>0.0012903012156003002</x:v>
      </x:c>
      <x:c r="AB36" s="57" t="n">
        <x:v>0.004323679359373</x:v>
      </x:c>
      <x:c r="AC36" s="57" t="n">
        <x:v>0.00295472045218195</x:v>
      </x:c>
      <x:c r="AD36" s="57" t="n">
        <x:v>0.00340502839948628</x:v>
      </x:c>
      <x:c r="AE36" s="57" t="n">
        <x:f>AVERAGE(AB36:AD36)</x:f>
        <x:v>0.0035611427370137432</x:v>
      </x:c>
      <x:c r="AF36" s="57" t="n">
        <x:v>0</x:v>
      </x:c>
      <x:c r="AG36" s="57" t="n">
        <x:v>0</x:v>
      </x:c>
      <x:c r="AH36" s="57" t="n">
        <x:v>0</x:v>
      </x:c>
      <x:c r="AI36" s="57" t="n">
        <x:f>AVERAGE(AF36:AH36)</x:f>
        <x:v>0</x:v>
      </x:c>
      <x:c r="AJ36" s="57" t="n">
        <x:f>SUM(X36,AB36,AF36)</x:f>
        <x:v>0.005750988347909349</x:v>
      </x:c>
      <x:c r="AK36" s="57" t="n">
        <x:f>SUM(Y36,AC36,AG36)</x:f>
        <x:v>0.00408753138866668</x:v>
      </x:c>
      <x:c r="AL36" s="57" t="n">
        <x:f>SUM(Z36,AD36,AH36)</x:f>
        <x:v>0.0047158121212661</x:v>
      </x:c>
      <x:c r="AM36" s="57" t="n">
        <x:f>AVERAGE(AJ36:AL36)</x:f>
        <x:v>0.004851443952614044</x:v>
      </x:c>
      <x:c r="AN36" s="35" t="str">
        <x:v>Original World Bank/WGI 2015-2017 data complete</x:v>
      </x:c>
      <x:c r="AO36" s="35" t="str">
        <x:v>World Bank WDI</x:v>
      </x:c>
      <x:c r="AP36" s="35" t="str">
        <x:v>World Bank WDI oil + gas + coal rents</x:v>
      </x:c>
      <x:c r="AQ36" s="35" t="str">
        <x:v>No</x:v>
      </x:c>
      <x:c r="AR36" s="35" t="n">
        <x:v>0</x:v>
      </x:c>
    </x:row>
    <x:row r="37">
      <x:c r="A37" s="54" t="str">
        <x:v>Mozambique</x:v>
      </x:c>
      <x:c r="B37" s="54" t="str">
        <x:v>莫桑比克</x:v>
      </x:c>
      <x:c r="C37" s="54" t="str">
        <x:v>MOZ</x:v>
      </x:c>
      <x:c r="D37" s="54" t="str">
        <x:v>Balancing</x:v>
      </x:c>
      <x:c r="E37" s="54" t="str">
        <x:v>System-Deepening Archetype</x:v>
      </x:c>
      <x:c r="F37" s="54" t="str">
        <x:v>High stability</x:v>
      </x:c>
      <x:c r="G37" s="54"/>
      <x:c r="H37" s="57" t="n">
        <x:v>-0.580096</x:v>
      </x:c>
      <x:c r="I37" s="57" t="n">
        <x:v>-0.6823519</x:v>
      </x:c>
      <x:c r="J37" s="57" t="n">
        <x:v>-0.6898963</x:v>
      </x:c>
      <x:c r="K37" s="57" t="n">
        <x:f>AVERAGE(H37:J37)</x:f>
        <x:v>-0.6507814</x:v>
      </x:c>
      <x:c r="L37" s="57" t="n">
        <x:v>-0.6842917</x:v>
      </x:c>
      <x:c r="M37" s="57" t="n">
        <x:v>-1.2808563</x:v>
      </x:c>
      <x:c r="N37" s="57" t="n">
        <x:v>-1.0653022</x:v>
      </x:c>
      <x:c r="O37" s="57" t="n">
        <x:f>AVERAGE(L37:N37)</x:f>
        <x:v>-1.0101500666666665</x:v>
      </x:c>
      <x:c r="P37" s="59" t="n">
        <x:v>16208985769.61496</x:v>
      </x:c>
      <x:c r="Q37" s="59" t="n">
        <x:v>12069051237.17111</x:v>
      </x:c>
      <x:c r="R37" s="59" t="n">
        <x:v>13264640645.77679</x:v>
      </x:c>
      <x:c r="S37" s="59" t="n">
        <x:f>AVERAGE(P37:R37)</x:f>
        <x:v>13847559217.520956</x:v>
      </x:c>
      <x:c r="T37" s="61" t="n">
        <x:v>610.5637747065892</x:v>
      </x:c>
      <x:c r="U37" s="61" t="n">
        <x:v>441.4897348190715</x:v>
      </x:c>
      <x:c r="V37" s="61" t="n">
        <x:v>470.9385630519602</x:v>
      </x:c>
      <x:c r="W37" s="61" t="n">
        <x:f>AVERAGE(T37:V37)</x:f>
        <x:v>507.66402419254035</x:v>
      </x:c>
      <x:c r="X37" s="57" t="n">
        <x:v>0.050045182177423</x:v>
      </x:c>
      <x:c r="Y37" s="57" t="n">
        <x:v>0.0633248092640754</x:v>
      </x:c>
      <x:c r="Z37" s="57" t="n">
        <x:v>0.0872960927597713</x:v>
      </x:c>
      <x:c r="AA37" s="57" t="n">
        <x:f>AVERAGE(X37:Z37)</x:f>
        <x:v>0.06688869473375657</x:v>
      </x:c>
      <x:c r="AB37" s="57" t="n">
        <x:v>2.13938758840339</x:v>
      </x:c>
      <x:c r="AC37" s="57" t="n">
        <x:v>1.97200900578106</x:v>
      </x:c>
      <x:c r="AD37" s="57" t="n">
        <x:v>2.16082066537561</x:v>
      </x:c>
      <x:c r="AE37" s="57" t="n">
        <x:f>AVERAGE(AB37:AD37)</x:f>
        <x:v>2.09073908652002</x:v>
      </x:c>
      <x:c r="AF37" s="57" t="n">
        <x:v>1.26833720910738</x:v>
      </x:c>
      <x:c r="AG37" s="57" t="n">
        <x:v>1.82404678745023</x:v>
      </x:c>
      <x:c r="AH37" s="57" t="n">
        <x:v>4.57367559928652</x:v>
      </x:c>
      <x:c r="AI37" s="57" t="n">
        <x:f>AVERAGE(AF37:AH37)</x:f>
        <x:v>2.5553531986147098</x:v>
      </x:c>
      <x:c r="AJ37" s="57" t="n">
        <x:f>SUM(X37,AB37,AF37)</x:f>
        <x:v>3.4577699796881927</x:v>
      </x:c>
      <x:c r="AK37" s="57" t="n">
        <x:f>SUM(Y37,AC37,AG37)</x:f>
        <x:v>3.8593806024953654</x:v>
      </x:c>
      <x:c r="AL37" s="57" t="n">
        <x:f>SUM(Z37,AD37,AH37)</x:f>
        <x:v>6.8217923574219</x:v>
      </x:c>
      <x:c r="AM37" s="57" t="n">
        <x:f>AVERAGE(AJ37:AL37)</x:f>
        <x:v>4.712980979868486</x:v>
      </x:c>
      <x:c r="AN37" s="35" t="str">
        <x:v>Original World Bank/WGI 2015-2017 data complete</x:v>
      </x:c>
      <x:c r="AO37" s="35" t="str">
        <x:v>World Bank WDI</x:v>
      </x:c>
      <x:c r="AP37" s="35" t="str">
        <x:v>World Bank WDI oil + gas + coal rents</x:v>
      </x:c>
      <x:c r="AQ37" s="35" t="str">
        <x:v>No</x:v>
      </x:c>
      <x:c r="AR37" s="35" t="n">
        <x:v>0</x:v>
      </x:c>
    </x:row>
    <x:row r="38">
      <x:c r="A38" s="54" t="str">
        <x:v>Namibia</x:v>
      </x:c>
      <x:c r="B38" s="54" t="str">
        <x:v>纳米比亚</x:v>
      </x:c>
      <x:c r="C38" s="54" t="str">
        <x:v>NAM</x:v>
      </x:c>
      <x:c r="D38" s="54" t="str">
        <x:v>Balancing</x:v>
      </x:c>
      <x:c r="E38" s="54" t="str">
        <x:v>System-Deepening Archetype</x:v>
      </x:c>
      <x:c r="F38" s="54" t="str">
        <x:v>High stability</x:v>
      </x:c>
      <x:c r="G38" s="54"/>
      <x:c r="H38" s="57" t="n">
        <x:v>0.2927673</x:v>
      </x:c>
      <x:c r="I38" s="57" t="n">
        <x:v>0.2349555</x:v>
      </x:c>
      <x:c r="J38" s="57" t="n">
        <x:v>0.2683997</x:v>
      </x:c>
      <x:c r="K38" s="57" t="n">
        <x:f>AVERAGE(H38:J38)</x:f>
        <x:v>0.2653741666666667</x:v>
      </x:c>
      <x:c r="L38" s="57" t="n">
        <x:v>0.7175058</x:v>
      </x:c>
      <x:c r="M38" s="57" t="n">
        <x:v>0.6657312999999999</x:v>
      </x:c>
      <x:c r="N38" s="57" t="n">
        <x:v>0.6294292</x:v>
      </x:c>
      <x:c r="O38" s="57" t="n">
        <x:f>AVERAGE(L38:N38)</x:f>
        <x:v>0.6708887666666666</x:v>
      </x:c>
      <x:c r="P38" s="59" t="n">
        <x:v>11335161083.5061</x:v>
      </x:c>
      <x:c r="Q38" s="59" t="n">
        <x:v>10722018732.09359</x:v>
      </x:c>
      <x:c r="R38" s="59" t="n">
        <x:v>12895153370.91319</x:v>
      </x:c>
      <x:c r="S38" s="59" t="n">
        <x:f>AVERAGE(P38:R38)</x:f>
        <x:v>11650777728.837626</x:v>
      </x:c>
      <x:c r="T38" s="61" t="n">
        <x:v>4774.106508657753</x:v>
      </x:c>
      <x:c r="U38" s="61" t="n">
        <x:v>4395.687761623764</x:v>
      </x:c>
      <x:c r="V38" s="61" t="n">
        <x:v>5143.960723230756</x:v>
      </x:c>
      <x:c r="W38" s="61" t="n">
        <x:f>AVERAGE(T38:V38)</x:f>
        <x:v>4771.251664504091</x:v>
      </x:c>
      <x:c r="X38" s="57" t="n">
        <x:v>0</x:v>
      </x:c>
      <x:c r="Y38" s="57" t="n">
        <x:v>0</x:v>
      </x:c>
      <x:c r="Z38" s="57" t="n">
        <x:v>0</x:v>
      </x:c>
      <x:c r="AA38" s="57" t="n">
        <x:f>AVERAGE(X38:Z38)</x:f>
        <x:v>0</x:v>
      </x:c>
      <x:c r="AB38" s="57" t="n">
        <x:v>0</x:v>
      </x:c>
      <x:c r="AC38" s="57" t="n">
        <x:v>0</x:v>
      </x:c>
      <x:c r="AD38" s="57" t="n">
        <x:v>0</x:v>
      </x:c>
      <x:c r="AE38" s="57" t="n">
        <x:f>AVERAGE(AB38:AD38)</x:f>
        <x:v>0</x:v>
      </x:c>
      <x:c r="AF38" s="57" t="n">
        <x:v>0</x:v>
      </x:c>
      <x:c r="AG38" s="57" t="n">
        <x:v>0</x:v>
      </x:c>
      <x:c r="AH38" s="57" t="n">
        <x:v>0</x:v>
      </x:c>
      <x:c r="AI38" s="57" t="n">
        <x:f>AVERAGE(AF38:AH38)</x:f>
        <x:v>0</x:v>
      </x:c>
      <x:c r="AJ38" s="57" t="n">
        <x:f>SUM(X38,AB38,AF38)</x:f>
        <x:v>0</x:v>
      </x:c>
      <x:c r="AK38" s="57" t="n">
        <x:f>SUM(Y38,AC38,AG38)</x:f>
        <x:v>0</x:v>
      </x:c>
      <x:c r="AL38" s="57" t="n">
        <x:f>SUM(Z38,AD38,AH38)</x:f>
        <x:v>0</x:v>
      </x:c>
      <x:c r="AM38" s="57" t="n">
        <x:f>AVERAGE(AJ38:AL38)</x:f>
        <x:v>0</x:v>
      </x:c>
      <x:c r="AN38" s="35" t="str">
        <x:v>Original World Bank/WGI 2015-2017 data complete</x:v>
      </x:c>
      <x:c r="AO38" s="35" t="str">
        <x:v>World Bank WDI</x:v>
      </x:c>
      <x:c r="AP38" s="35" t="str">
        <x:v>World Bank WDI oil + gas + coal rents</x:v>
      </x:c>
      <x:c r="AQ38" s="35" t="str">
        <x:v>No</x:v>
      </x:c>
      <x:c r="AR38" s="35" t="n">
        <x:v>0</x:v>
      </x:c>
    </x:row>
    <x:row r="39">
      <x:c r="A39" s="54" t="str">
        <x:v>Niger</x:v>
      </x:c>
      <x:c r="B39" s="54" t="str">
        <x:v>尼日尔</x:v>
      </x:c>
      <x:c r="C39" s="54" t="str">
        <x:v>NER</x:v>
      </x:c>
      <x:c r="D39" s="54" t="str">
        <x:v>Lagging</x:v>
      </x:c>
      <x:c r="E39" s="54" t="str">
        <x:v>Transition-Constrained Archetype</x:v>
      </x:c>
      <x:c r="F39" s="54" t="str">
        <x:v>High stability</x:v>
      </x:c>
      <x:c r="G39" s="54"/>
      <x:c r="H39" s="57" t="n">
        <x:v>-0.5908565</x:v>
      </x:c>
      <x:c r="I39" s="57" t="n">
        <x:v>-0.5660436999999999</x:v>
      </x:c>
      <x:c r="J39" s="57" t="n">
        <x:v>-0.654903</x:v>
      </x:c>
      <x:c r="K39" s="57" t="n">
        <x:f>AVERAGE(H39:J39)</x:f>
        <x:v>-0.6039344</x:v>
      </x:c>
      <x:c r="L39" s="57" t="n">
        <x:v>-0.7994889</x:v>
      </x:c>
      <x:c r="M39" s="57" t="n">
        <x:v>-0.9443199999999999</x:v>
      </x:c>
      <x:c r="N39" s="57" t="n">
        <x:v>-1.0412801</x:v>
      </x:c>
      <x:c r="O39" s="57" t="n">
        <x:f>AVERAGE(L39:N39)</x:f>
        <x:v>-0.928363</x:v>
      </x:c>
      <x:c r="P39" s="59" t="n">
        <x:v>9683867926.442823</x:v>
      </x:c>
      <x:c r="Q39" s="59" t="n">
        <x:v>10341025540.23218</x:v>
      </x:c>
      <x:c r="R39" s="59" t="n">
        <x:v>11359273443.38975</x:v>
      </x:c>
      <x:c r="S39" s="59" t="n">
        <x:f>AVERAGE(P39:R39)</x:f>
        <x:v>10461388970.021584</x:v>
      </x:c>
      <x:c r="T39" s="61" t="n">
        <x:v>485.6625741752788</x:v>
      </x:c>
      <x:c r="U39" s="61" t="n">
        <x:v>499.910520068193</x:v>
      </x:c>
      <x:c r="V39" s="61" t="n">
        <x:v>529.9294189348683</x:v>
      </x:c>
      <x:c r="W39" s="61" t="n">
        <x:f>AVERAGE(T39:V39)</x:f>
        <x:v>505.16750439278</x:v>
      </x:c>
      <x:c r="X39" s="57" t="n">
        <x:v>0.90069467580531</x:v>
      </x:c>
      <x:c r="Y39" s="57" t="n">
        <x:v>0.920918399439848</x:v>
      </x:c>
      <x:c r="Z39" s="57" t="n">
        <x:v>1.29768887354329</x:v>
      </x:c>
      <x:c r="AA39" s="57" t="n">
        <x:f>AVERAGE(X39:Z39)</x:f>
        <x:v>1.039767316262816</x:v>
      </x:c>
      <x:c r="AB39" s="57" t="n">
        <x:v>0</x:v>
      </x:c>
      <x:c r="AC39" s="57" t="n">
        <x:v>0</x:v>
      </x:c>
      <x:c r="AD39" s="57" t="n">
        <x:v>0</x:v>
      </x:c>
      <x:c r="AE39" s="57" t="n">
        <x:f>AVERAGE(AB39:AD39)</x:f>
        <x:v>0</x:v>
      </x:c>
      <x:c r="AF39" s="57" t="n">
        <x:v>0.0234772390851172</x:v>
      </x:c>
      <x:c r="AG39" s="57" t="n">
        <x:v>0.0268755656188016</x:v>
      </x:c>
      <x:c r="AH39" s="57" t="n">
        <x:v>0.0314688786329333</x:v>
      </x:c>
      <x:c r="AI39" s="57" t="n">
        <x:f>AVERAGE(AF39:AH39)</x:f>
        <x:v>0.02727389444561737</x:v>
      </x:c>
      <x:c r="AJ39" s="57" t="n">
        <x:f>SUM(X39,AB39,AF39)</x:f>
        <x:v>0.9241719148904273</x:v>
      </x:c>
      <x:c r="AK39" s="57" t="n">
        <x:f>SUM(Y39,AC39,AG39)</x:f>
        <x:v>0.9477939650586495</x:v>
      </x:c>
      <x:c r="AL39" s="57" t="n">
        <x:f>SUM(Z39,AD39,AH39)</x:f>
        <x:v>1.3291577521762235</x:v>
      </x:c>
      <x:c r="AM39" s="57" t="n">
        <x:f>AVERAGE(AJ39:AL39)</x:f>
        <x:v>1.0670412107084335</x:v>
      </x:c>
      <x:c r="AN39" s="35" t="str">
        <x:v>Original World Bank/WGI 2015-2017 data complete</x:v>
      </x:c>
      <x:c r="AO39" s="35" t="str">
        <x:v>World Bank WDI</x:v>
      </x:c>
      <x:c r="AP39" s="35" t="str">
        <x:v>World Bank WDI oil + gas + coal rents</x:v>
      </x:c>
      <x:c r="AQ39" s="35" t="str">
        <x:v>No</x:v>
      </x:c>
      <x:c r="AR39" s="35" t="n">
        <x:v>0</x:v>
      </x:c>
    </x:row>
    <x:row r="40">
      <x:c r="A40" s="54" t="str">
        <x:v>Nigeria</x:v>
      </x:c>
      <x:c r="B40" s="54" t="str">
        <x:v>尼日利亚</x:v>
      </x:c>
      <x:c r="C40" s="54" t="str">
        <x:v>NGA</x:v>
      </x:c>
      <x:c r="D40" s="54" t="str">
        <x:v>Balancing</x:v>
      </x:c>
      <x:c r="E40" s="54" t="str">
        <x:v>System-Deepening Archetype</x:v>
      </x:c>
      <x:c r="F40" s="54" t="str">
        <x:v>Moderate stability</x:v>
      </x:c>
      <x:c r="G40" s="54"/>
      <x:c r="H40" s="57" t="n">
        <x:v>-0.9138837999999999</x:v>
      </x:c>
      <x:c r="I40" s="57" t="n">
        <x:v>-0.9191661999999999</x:v>
      </x:c>
      <x:c r="J40" s="57" t="n">
        <x:v>-0.8608661</x:v>
      </x:c>
      <x:c r="K40" s="57" t="n">
        <x:f>AVERAGE(H40:J40)</x:f>
        <x:v>-0.8979720333333333</x:v>
      </x:c>
      <x:c r="L40" s="57" t="n">
        <x:v>-1.6677713</x:v>
      </x:c>
      <x:c r="M40" s="57" t="n">
        <x:v>-1.7100665</x:v>
      </x:c>
      <x:c r="N40" s="57" t="n">
        <x:v>-1.9097854</x:v>
      </x:c>
      <x:c r="O40" s="57" t="n">
        <x:f>AVERAGE(L40:N40)</x:f>
        <x:v>-1.7625410666666668</x:v>
      </x:c>
      <x:c r="P40" s="59" t="n">
        <x:v>493026682800.6295</x:v>
      </x:c>
      <x:c r="Q40" s="59" t="n">
        <x:v>404649125252.1595</x:v>
      </x:c>
      <x:c r="R40" s="59" t="n">
        <x:v>375745731053.4268</x:v>
      </x:c>
      <x:c r="S40" s="59" t="n">
        <x:f>AVERAGE(P40:R40)</x:f>
        <x:v>424473846368.7386</x:v>
      </x:c>
      <x:c r="T40" s="61" t="n">
        <x:v>2585.733606717974</x:v>
      </x:c>
      <x:c r="U40" s="61" t="n">
        <x:v>2070.412733959496</x:v>
      </x:c>
      <x:c r="V40" s="61" t="n">
        <x:v>1876.34027111773</x:v>
      </x:c>
      <x:c r="W40" s="61" t="n">
        <x:f>AVERAGE(T40:V40)</x:f>
        <x:v>2177.495537265067</x:v>
      </x:c>
      <x:c r="X40" s="57" t="n">
        <x:v>2.78345150643408</x:v>
      </x:c>
      <x:c r="Y40" s="57" t="n">
        <x:v>2.68429043488445</x:v>
      </x:c>
      <x:c r="Z40" s="57" t="n">
        <x:v>5.47262882301734</x:v>
      </x:c>
      <x:c r="AA40" s="57" t="n">
        <x:f>AVERAGE(X40:Z40)</x:f>
        <x:v>3.6467902547786237</x:v>
      </x:c>
      <x:c r="AB40" s="57" t="n">
        <x:v>0.606650567592808</x:v>
      </x:c>
      <x:c r="AC40" s="57" t="n">
        <x:v>0.482590199613052</x:v>
      </x:c>
      <x:c r="AD40" s="57" t="n">
        <x:v>0.679652469225142</x:v>
      </x:c>
      <x:c r="AE40" s="57" t="n">
        <x:f>AVERAGE(AB40:AD40)</x:f>
        <x:v>0.5896310788103339</x:v>
      </x:c>
      <x:c r="AF40" s="57" t="n">
        <x:v>0.000225610780824667</x:v>
      </x:c>
      <x:c r="AG40" s="57" t="n">
        <x:v>0.000315241982083601</x:v>
      </x:c>
      <x:c r="AH40" s="57" t="n">
        <x:v>0.000446678960032166</x:v>
      </x:c>
      <x:c r="AI40" s="57" t="n">
        <x:f>AVERAGE(AF40:AH40)</x:f>
        <x:v>0.00032917724098014464</x:v>
      </x:c>
      <x:c r="AJ40" s="57" t="n">
        <x:f>SUM(X40,AB40,AF40)</x:f>
        <x:v>3.3903276848077124</x:v>
      </x:c>
      <x:c r="AK40" s="57" t="n">
        <x:f>SUM(Y40,AC40,AG40)</x:f>
        <x:v>3.167195876479586</x:v>
      </x:c>
      <x:c r="AL40" s="57" t="n">
        <x:f>SUM(Z40,AD40,AH40)</x:f>
        <x:v>6.1527279712025145</x:v>
      </x:c>
      <x:c r="AM40" s="57" t="n">
        <x:f>AVERAGE(AJ40:AL40)</x:f>
        <x:v>4.236750510829938</x:v>
      </x:c>
      <x:c r="AN40" s="35" t="str">
        <x:v>Original World Bank/WGI 2015-2017 data complete</x:v>
      </x:c>
      <x:c r="AO40" s="35" t="str">
        <x:v>World Bank WDI</x:v>
      </x:c>
      <x:c r="AP40" s="35" t="str">
        <x:v>World Bank WDI oil + gas + coal rents</x:v>
      </x:c>
      <x:c r="AQ40" s="35" t="str">
        <x:v>No</x:v>
      </x:c>
      <x:c r="AR40" s="35" t="n">
        <x:v>0</x:v>
      </x:c>
    </x:row>
    <x:row r="41">
      <x:c r="A41" s="54" t="str">
        <x:v>Rwanda</x:v>
      </x:c>
      <x:c r="B41" s="54" t="str">
        <x:v>卢旺达</x:v>
      </x:c>
      <x:c r="C41" s="54" t="str">
        <x:v>RWA</x:v>
      </x:c>
      <x:c r="D41" s="54" t="str">
        <x:v>Balancing</x:v>
      </x:c>
      <x:c r="E41" s="54" t="str">
        <x:v>System-Deepening Archetype</x:v>
      </x:c>
      <x:c r="F41" s="54" t="str">
        <x:v>Moderate stability</x:v>
      </x:c>
      <x:c r="G41" s="54"/>
      <x:c r="H41" s="57" t="n">
        <x:v>-0.0496198</x:v>
      </x:c>
      <x:c r="I41" s="57" t="n">
        <x:v>0.1202434</x:v>
      </x:c>
      <x:c r="J41" s="57" t="n">
        <x:v>0.316719</x:v>
      </x:c>
      <x:c r="K41" s="57" t="n">
        <x:f>AVERAGE(H41:J41)</x:f>
        <x:v>0.12911419999999998</x:v>
      </x:c>
      <x:c r="L41" s="57" t="n">
        <x:v>0.09866359999999999</x:v>
      </x:c>
      <x:c r="M41" s="57" t="n">
        <x:v>-0.0457773</x:v>
      </x:c>
      <x:c r="N41" s="57" t="n">
        <x:v>0.094453</x:v>
      </x:c>
      <x:c r="O41" s="57" t="n">
        <x:f>AVERAGE(L41:N41)</x:f>
        <x:v>0.04911309999999999</x:v>
      </x:c>
      <x:c r="P41" s="59" t="n">
        <x:v>8447064078.843735</x:v>
      </x:c>
      <x:c r="Q41" s="59" t="n">
        <x:v>8596812240.523048</x:v>
      </x:c>
      <x:c r="R41" s="59" t="n">
        <x:v>9164345443.257502</x:v>
      </x:c>
      <x:c r="S41" s="59" t="n">
        <x:f>AVERAGE(P41:R41)</x:f>
        <x:v>8736073920.874762</x:v>
      </x:c>
      <x:c r="T41" s="61" t="n">
        <x:v>725.6914186969522</x:v>
      </x:c>
      <x:c r="U41" s="61" t="n">
        <x:v>721.2585158330943</x:v>
      </x:c>
      <x:c r="V41" s="61" t="n">
        <x:v>751.0490395275472</x:v>
      </x:c>
      <x:c r="W41" s="61" t="n">
        <x:f>AVERAGE(T41:V41)</x:f>
        <x:v>732.6663246858647</x:v>
      </x:c>
      <x:c r="X41" s="57" t="n">
        <x:v>0</x:v>
      </x:c>
      <x:c r="Y41" s="57" t="n">
        <x:v>0</x:v>
      </x:c>
      <x:c r="Z41" s="57" t="n">
        <x:v>0</x:v>
      </x:c>
      <x:c r="AA41" s="57" t="n">
        <x:f>AVERAGE(X41:Z41)</x:f>
        <x:v>0</x:v>
      </x:c>
      <x:c r="AB41" s="57" t="n">
        <x:v>0.0208868684461887</x:v>
      </x:c>
      <x:c r="AC41" s="57" t="n">
        <x:v>0.02382024508965</x:v>
      </x:c>
      <x:c r="AD41" s="57" t="n">
        <x:v>0.0273775740346356</x:v>
      </x:c>
      <x:c r="AE41" s="57" t="n">
        <x:f>AVERAGE(AB41:AD41)</x:f>
        <x:v>0.0240282291901581</x:v>
      </x:c>
      <x:c r="AF41" s="57" t="n">
        <x:v>0</x:v>
      </x:c>
      <x:c r="AG41" s="57" t="n">
        <x:v>0</x:v>
      </x:c>
      <x:c r="AH41" s="57" t="n">
        <x:v>0</x:v>
      </x:c>
      <x:c r="AI41" s="57" t="n">
        <x:f>AVERAGE(AF41:AH41)</x:f>
        <x:v>0</x:v>
      </x:c>
      <x:c r="AJ41" s="57" t="n">
        <x:f>SUM(X41,AB41,AF41)</x:f>
        <x:v>0.0208868684461887</x:v>
      </x:c>
      <x:c r="AK41" s="57" t="n">
        <x:f>SUM(Y41,AC41,AG41)</x:f>
        <x:v>0.02382024508965</x:v>
      </x:c>
      <x:c r="AL41" s="57" t="n">
        <x:f>SUM(Z41,AD41,AH41)</x:f>
        <x:v>0.0273775740346356</x:v>
      </x:c>
      <x:c r="AM41" s="57" t="n">
        <x:f>AVERAGE(AJ41:AL41)</x:f>
        <x:v>0.0240282291901581</x:v>
      </x:c>
      <x:c r="AN41" s="35" t="str">
        <x:v>Original World Bank/WGI 2015-2017 data complete</x:v>
      </x:c>
      <x:c r="AO41" s="35" t="str">
        <x:v>World Bank WDI</x:v>
      </x:c>
      <x:c r="AP41" s="35" t="str">
        <x:v>World Bank WDI oil + gas + coal rents</x:v>
      </x:c>
      <x:c r="AQ41" s="35" t="str">
        <x:v>No</x:v>
      </x:c>
      <x:c r="AR41" s="35" t="n">
        <x:v>0</x:v>
      </x:c>
    </x:row>
    <x:row r="42">
      <x:c r="A42" s="54" t="str">
        <x:v>Sao Tome and Principe</x:v>
      </x:c>
      <x:c r="B42" s="54" t="str">
        <x:v>圣多美和普林西比</x:v>
      </x:c>
      <x:c r="C42" s="54" t="str">
        <x:v>STP</x:v>
      </x:c>
      <x:c r="D42" s="54" t="str">
        <x:v>Lagging</x:v>
      </x:c>
      <x:c r="E42" s="54" t="str">
        <x:v>Transition-Constrained Archetype</x:v>
      </x:c>
      <x:c r="F42" s="54" t="str">
        <x:v>High stability</x:v>
      </x:c>
      <x:c r="G42" s="54"/>
      <x:c r="H42" s="57" t="n">
        <x:v>-0.6582285999999999</x:v>
      </x:c>
      <x:c r="I42" s="57" t="n">
        <x:v>-0.5965439</x:v>
      </x:c>
      <x:c r="J42" s="57" t="n">
        <x:v>-0.5457335999999999</x:v>
      </x:c>
      <x:c r="K42" s="57" t="n">
        <x:f>AVERAGE(H42:J42)</x:f>
        <x:v>-0.6001687</x:v>
      </x:c>
      <x:c r="L42" s="57" t="n">
        <x:v>0.3792166</x:v>
      </x:c>
      <x:c r="M42" s="57" t="n">
        <x:v>0.2641856</x:v>
      </x:c>
      <x:c r="N42" s="57" t="n">
        <x:v>0.2145007</x:v>
      </x:c>
      <x:c r="O42" s="57" t="n">
        <x:f>AVERAGE(L42:N42)</x:f>
        <x:v>0.28596763333333336</x:v>
      </x:c>
      <x:c r="P42" s="59" t="n">
        <x:v>259999643.047388</x:v>
      </x:c>
      <x:c r="Q42" s="59" t="n">
        <x:v>292267272.1969252</x:v>
      </x:c>
      <x:c r="R42" s="59" t="n">
        <x:v>322002845.2293353</x:v>
      </x:c>
      <x:c r="S42" s="59" t="n">
        <x:f>AVERAGE(P42:R42)</x:f>
        <x:v>291423253.4912162</x:v>
      </x:c>
      <x:c r="T42" s="61" t="n">
        <x:v>1298.109465963963</x:v>
      </x:c>
      <x:c r="U42" s="61" t="n">
        <x:v>1434.870180505208</x:v>
      </x:c>
      <x:c r="V42" s="61" t="n">
        <x:v>1555.794778128885</x:v>
      </x:c>
      <x:c r="W42" s="61" t="n">
        <x:f>AVERAGE(T42:V42)</x:f>
        <x:v>1429.5914748660186</x:v>
      </x:c>
      <x:c r="X42" s="57" t="n">
        <x:v>0</x:v>
      </x:c>
      <x:c r="Y42" s="57" t="n">
        <x:v>0</x:v>
      </x:c>
      <x:c r="Z42" s="57" t="n">
        <x:v>0</x:v>
      </x:c>
      <x:c r="AA42" s="57" t="n">
        <x:f>AVERAGE(X42:Z42)</x:f>
        <x:v>0</x:v>
      </x:c>
      <x:c r="AB42" s="57" t="n">
        <x:v>0</x:v>
      </x:c>
      <x:c r="AC42" s="57" t="n">
        <x:v>0</x:v>
      </x:c>
      <x:c r="AD42" s="57" t="n">
        <x:v>0</x:v>
      </x:c>
      <x:c r="AE42" s="57" t="n">
        <x:f>AVERAGE(AB42:AD42)</x:f>
        <x:v>0</x:v>
      </x:c>
      <x:c r="AF42" s="57" t="n">
        <x:v>0</x:v>
      </x:c>
      <x:c r="AG42" s="57" t="n">
        <x:v>0</x:v>
      </x:c>
      <x:c r="AH42" s="57" t="n">
        <x:v>0</x:v>
      </x:c>
      <x:c r="AI42" s="57" t="n">
        <x:f>AVERAGE(AF42:AH42)</x:f>
        <x:v>0</x:v>
      </x:c>
      <x:c r="AJ42" s="57" t="n">
        <x:f>SUM(X42,AB42,AF42)</x:f>
        <x:v>0</x:v>
      </x:c>
      <x:c r="AK42" s="57" t="n">
        <x:f>SUM(Y42,AC42,AG42)</x:f>
        <x:v>0</x:v>
      </x:c>
      <x:c r="AL42" s="57" t="n">
        <x:f>SUM(Z42,AD42,AH42)</x:f>
        <x:v>0</x:v>
      </x:c>
      <x:c r="AM42" s="57" t="n">
        <x:f>AVERAGE(AJ42:AL42)</x:f>
        <x:v>0</x:v>
      </x:c>
      <x:c r="AN42" s="35" t="str">
        <x:v>Original World Bank/WGI 2015-2017 data complete</x:v>
      </x:c>
      <x:c r="AO42" s="35" t="str">
        <x:v>World Bank WDI</x:v>
      </x:c>
      <x:c r="AP42" s="35" t="str">
        <x:v>World Bank WDI oil + gas + coal rents</x:v>
      </x:c>
      <x:c r="AQ42" s="35" t="str">
        <x:v>No</x:v>
      </x:c>
      <x:c r="AR42" s="35" t="n">
        <x:v>0</x:v>
      </x:c>
    </x:row>
    <x:row r="43">
      <x:c r="A43" s="54" t="str">
        <x:v>Senegal</x:v>
      </x:c>
      <x:c r="B43" s="54" t="str">
        <x:v>塞内加尔</x:v>
      </x:c>
      <x:c r="C43" s="54" t="str">
        <x:v>SEN</x:v>
      </x:c>
      <x:c r="D43" s="54" t="str">
        <x:v>Lagging</x:v>
      </x:c>
      <x:c r="E43" s="54" t="str">
        <x:v>Transition-Constrained Archetype</x:v>
      </x:c>
      <x:c r="F43" s="54" t="str">
        <x:v>Boundary-sensitive</x:v>
      </x:c>
      <x:c r="G43" s="54" t="str">
        <x:v>**</x:v>
      </x:c>
      <x:c r="H43" s="57" t="n">
        <x:v>-0.1627129</x:v>
      </x:c>
      <x:c r="I43" s="57" t="n">
        <x:v>-0.184756</x:v>
      </x:c>
      <x:c r="J43" s="57" t="n">
        <x:v>-0.029733</x:v>
      </x:c>
      <x:c r="K43" s="57" t="n">
        <x:f>AVERAGE(H43:J43)</x:f>
        <x:v>-0.12573396666666667</x:v>
      </x:c>
      <x:c r="L43" s="57" t="n">
        <x:v>-0.0746024</x:v>
      </x:c>
      <x:c r="M43" s="57" t="n">
        <x:v>-0.2221016</x:v>
      </x:c>
      <x:c r="N43" s="57" t="n">
        <x:v>-0.1422197</x:v>
      </x:c>
      <x:c r="O43" s="57" t="n">
        <x:f>AVERAGE(L43:N43)</x:f>
        <x:v>-0.14630790000000002</x:v>
      </x:c>
      <x:c r="P43" s="59" t="n">
        <x:v>17774766696.1759</x:v>
      </x:c>
      <x:c r="Q43" s="59" t="n">
        <x:v>19040312333.18638</x:v>
      </x:c>
      <x:c r="R43" s="59" t="n">
        <x:v>20965069572.71675</x:v>
      </x:c>
      <x:c r="S43" s="59" t="n">
        <x:f>AVERAGE(P43:R43)</x:f>
        <x:v>19260049534.02634</x:v>
      </x:c>
      <x:c r="T43" s="61" t="n">
        <x:v>1218.006135554377</x:v>
      </x:c>
      <x:c r="U43" s="61" t="n">
        <x:v>1266.439571515872</x:v>
      </x:c>
      <x:c r="V43" s="61" t="n">
        <x:v>1354.770071933868</x:v>
      </x:c>
      <x:c r="W43" s="61" t="n">
        <x:f>AVERAGE(T43:V43)</x:f>
        <x:v>1279.7385930013725</x:v>
      </x:c>
      <x:c r="X43" s="57" t="n">
        <x:v>0</x:v>
      </x:c>
      <x:c r="Y43" s="57" t="n">
        <x:v>0</x:v>
      </x:c>
      <x:c r="Z43" s="57" t="n">
        <x:v>0</x:v>
      </x:c>
      <x:c r="AA43" s="57" t="n">
        <x:f>AVERAGE(X43:Z43)</x:f>
        <x:v>0</x:v>
      </x:c>
      <x:c r="AB43" s="57" t="n">
        <x:v>0.00799530091098317</x:v>
      </x:c>
      <x:c r="AC43" s="57" t="n">
        <x:v>0.00461921847587483</x:v>
      </x:c>
      <x:c r="AD43" s="57" t="n">
        <x:v>0.00438609604403223</x:v>
      </x:c>
      <x:c r="AE43" s="57" t="n">
        <x:f>AVERAGE(AB43:AD43)</x:f>
        <x:v>0.005666871810296743</x:v>
      </x:c>
      <x:c r="AF43" s="57" t="n">
        <x:v>0</x:v>
      </x:c>
      <x:c r="AG43" s="57" t="n">
        <x:v>0</x:v>
      </x:c>
      <x:c r="AH43" s="57" t="n">
        <x:v>0</x:v>
      </x:c>
      <x:c r="AI43" s="57" t="n">
        <x:f>AVERAGE(AF43:AH43)</x:f>
        <x:v>0</x:v>
      </x:c>
      <x:c r="AJ43" s="57" t="n">
        <x:f>SUM(X43,AB43,AF43)</x:f>
        <x:v>0.00799530091098317</x:v>
      </x:c>
      <x:c r="AK43" s="57" t="n">
        <x:f>SUM(Y43,AC43,AG43)</x:f>
        <x:v>0.00461921847587483</x:v>
      </x:c>
      <x:c r="AL43" s="57" t="n">
        <x:f>SUM(Z43,AD43,AH43)</x:f>
        <x:v>0.00438609604403223</x:v>
      </x:c>
      <x:c r="AM43" s="57" t="n">
        <x:f>AVERAGE(AJ43:AL43)</x:f>
        <x:v>0.005666871810296743</x:v>
      </x:c>
      <x:c r="AN43" s="35" t="str">
        <x:v>Original World Bank/WGI 2015-2017 data complete</x:v>
      </x:c>
      <x:c r="AO43" s="35" t="str">
        <x:v>World Bank WDI</x:v>
      </x:c>
      <x:c r="AP43" s="35" t="str">
        <x:v>World Bank WDI oil + gas + coal rents</x:v>
      </x:c>
      <x:c r="AQ43" s="35" t="str">
        <x:v>No</x:v>
      </x:c>
      <x:c r="AR43" s="35" t="n">
        <x:v>0</x:v>
      </x:c>
    </x:row>
    <x:row r="44">
      <x:c r="A44" s="54" t="str">
        <x:v>Seychelles</x:v>
      </x:c>
      <x:c r="B44" s="54" t="str">
        <x:v>塞舌尔</x:v>
      </x:c>
      <x:c r="C44" s="54" t="str">
        <x:v>SYC</x:v>
      </x:c>
      <x:c r="D44" s="54" t="str">
        <x:v>Lagging</x:v>
      </x:c>
      <x:c r="E44" s="54" t="str">
        <x:v>Transition-Constrained Archetype</x:v>
      </x:c>
      <x:c r="F44" s="54" t="str">
        <x:v>High stability</x:v>
      </x:c>
      <x:c r="G44" s="54"/>
      <x:c r="H44" s="57" t="n">
        <x:v>0.6575774999999999</x:v>
      </x:c>
      <x:c r="I44" s="57" t="n">
        <x:v>0.8131033999999999</x:v>
      </x:c>
      <x:c r="J44" s="57" t="n">
        <x:v>0.6187826</x:v>
      </x:c>
      <x:c r="K44" s="57" t="n">
        <x:f>AVERAGE(H44:J44)</x:f>
        <x:v>0.6964878333333333</x:v>
      </x:c>
      <x:c r="L44" s="57" t="n">
        <x:v>0.7647495</x:v>
      </x:c>
      <x:c r="M44" s="57" t="n">
        <x:v>0.7625993999999999</x:v>
      </x:c>
      <x:c r="N44" s="57" t="n">
        <x:v>0.813523</x:v>
      </x:c>
      <x:c r="O44" s="57" t="n">
        <x:f>AVERAGE(L44:N44)</x:f>
        <x:v>0.7802906333333333</x:v>
      </x:c>
      <x:c r="P44" s="59" t="n">
        <x:v>1432403352.129443</x:v>
      </x:c>
      <x:c r="Q44" s="59" t="n">
        <x:v>1568513348.144625</x:v>
      </x:c>
      <x:c r="R44" s="59" t="n">
        <x:v>1675370641.014162</x:v>
      </x:c>
      <x:c r="S44" s="59" t="n">
        <x:f>AVERAGE(P44:R44)</x:f>
        <x:v>1558762447.0960767</x:v>
      </x:c>
      <x:c r="T44" s="61" t="n">
        <x:v>15333.10517271051</x:v>
      </x:c>
      <x:c r="U44" s="61" t="n">
        <x:v>16566.99460422939</x:v>
      </x:c>
      <x:c r="V44" s="61" t="n">
        <x:v>17480.36519113719</x:v>
      </x:c>
      <x:c r="W44" s="61" t="n">
        <x:f>AVERAGE(T44:V44)</x:f>
        <x:v>16460.154989359027</x:v>
      </x:c>
      <x:c r="X44" s="57" t="n">
        <x:v>0</x:v>
      </x:c>
      <x:c r="Y44" s="57" t="n">
        <x:v>0</x:v>
      </x:c>
      <x:c r="Z44" s="57" t="n">
        <x:v>0</x:v>
      </x:c>
      <x:c r="AA44" s="57" t="n">
        <x:f>AVERAGE(X44:Z44)</x:f>
        <x:v>0</x:v>
      </x:c>
      <x:c r="AB44" s="57" t="n">
        <x:v>0</x:v>
      </x:c>
      <x:c r="AC44" s="57" t="n">
        <x:v>0</x:v>
      </x:c>
      <x:c r="AD44" s="57" t="n">
        <x:v>0</x:v>
      </x:c>
      <x:c r="AE44" s="57" t="n">
        <x:f>AVERAGE(AB44:AD44)</x:f>
        <x:v>0</x:v>
      </x:c>
      <x:c r="AF44" s="57" t="n">
        <x:v>0</x:v>
      </x:c>
      <x:c r="AG44" s="57" t="n">
        <x:v>0</x:v>
      </x:c>
      <x:c r="AH44" s="57" t="n">
        <x:v>0</x:v>
      </x:c>
      <x:c r="AI44" s="57" t="n">
        <x:f>AVERAGE(AF44:AH44)</x:f>
        <x:v>0</x:v>
      </x:c>
      <x:c r="AJ44" s="57" t="n">
        <x:f>SUM(X44,AB44,AF44)</x:f>
        <x:v>0</x:v>
      </x:c>
      <x:c r="AK44" s="57" t="n">
        <x:f>SUM(Y44,AC44,AG44)</x:f>
        <x:v>0</x:v>
      </x:c>
      <x:c r="AL44" s="57" t="n">
        <x:f>SUM(Z44,AD44,AH44)</x:f>
        <x:v>0</x:v>
      </x:c>
      <x:c r="AM44" s="57" t="n">
        <x:f>AVERAGE(AJ44:AL44)</x:f>
        <x:v>0</x:v>
      </x:c>
      <x:c r="AN44" s="35" t="str">
        <x:v>Original World Bank/WGI 2015-2017 data complete</x:v>
      </x:c>
      <x:c r="AO44" s="35" t="str">
        <x:v>World Bank WDI</x:v>
      </x:c>
      <x:c r="AP44" s="35" t="str">
        <x:v>World Bank WDI oil + gas + coal rents</x:v>
      </x:c>
      <x:c r="AQ44" s="35" t="str">
        <x:v>No</x:v>
      </x:c>
      <x:c r="AR44" s="35" t="n">
        <x:v>0</x:v>
      </x:c>
    </x:row>
    <x:row r="45">
      <x:c r="A45" s="54" t="str">
        <x:v>Sierra Leone</x:v>
      </x:c>
      <x:c r="B45" s="54" t="str">
        <x:v>塞拉利昂</x:v>
      </x:c>
      <x:c r="C45" s="54" t="str">
        <x:v>SLE</x:v>
      </x:c>
      <x:c r="D45" s="54" t="str">
        <x:v>Lagging</x:v>
      </x:c>
      <x:c r="E45" s="54" t="str">
        <x:v>Transition-Constrained Archetype</x:v>
      </x:c>
      <x:c r="F45" s="54" t="str">
        <x:v>Moderate stability</x:v>
      </x:c>
      <x:c r="G45" s="54"/>
      <x:c r="H45" s="57" t="n">
        <x:v>-1.1514848</x:v>
      </x:c>
      <x:c r="I45" s="57" t="n">
        <x:v>-1.0441405</x:v>
      </x:c>
      <x:c r="J45" s="57" t="n">
        <x:v>-1.0168171</x:v>
      </x:c>
      <x:c r="K45" s="57" t="n">
        <x:f>AVERAGE(H45:J45)</x:f>
        <x:v>-1.0708141333333332</x:v>
      </x:c>
      <x:c r="L45" s="57" t="n">
        <x:v>-0.0242965</x:v>
      </x:c>
      <x:c r="M45" s="57" t="n">
        <x:v>-0.2703676</x:v>
      </x:c>
      <x:c r="N45" s="57" t="n">
        <x:v>-0.1470976</x:v>
      </x:c>
      <x:c r="O45" s="57" t="n">
        <x:f>AVERAGE(L45:N45)</x:f>
        <x:v>-0.1472539</x:v>
      </x:c>
      <x:c r="P45" s="59" t="n">
        <x:v>6788352974.783295</x:v>
      </x:c>
      <x:c r="Q45" s="59" t="n">
        <x:v>6084297211.102173</x:v>
      </x:c>
      <x:c r="R45" s="59" t="n">
        <x:v>5749846528.480457</x:v>
      </x:c>
      <x:c r="S45" s="59" t="n">
        <x:f>AVERAGE(P45:R45)</x:f>
        <x:v>6207498904.788642</x:v>
      </x:c>
      <x:c r="T45" s="61" t="n">
        <x:v>964.5759808889885</x:v>
      </x:c>
      <x:c r="U45" s="61" t="n">
        <x:v>844.4164111754764</x:v>
      </x:c>
      <x:c r="V45" s="61" t="n">
        <x:v>779.1860078417283</x:v>
      </x:c>
      <x:c r="W45" s="61" t="n">
        <x:f>AVERAGE(T45:V45)</x:f>
        <x:v>862.7261333020643</x:v>
      </x:c>
      <x:c r="X45" s="57" t="n">
        <x:v>0</x:v>
      </x:c>
      <x:c r="Y45" s="57" t="n">
        <x:v>0</x:v>
      </x:c>
      <x:c r="Z45" s="57" t="n">
        <x:v>0</x:v>
      </x:c>
      <x:c r="AA45" s="57" t="n">
        <x:f>AVERAGE(X45:Z45)</x:f>
        <x:v>0</x:v>
      </x:c>
      <x:c r="AB45" s="57" t="n">
        <x:v>0</x:v>
      </x:c>
      <x:c r="AC45" s="57" t="n">
        <x:v>0</x:v>
      </x:c>
      <x:c r="AD45" s="57" t="n">
        <x:v>0</x:v>
      </x:c>
      <x:c r="AE45" s="57" t="n">
        <x:f>AVERAGE(AB45:AD45)</x:f>
        <x:v>0</x:v>
      </x:c>
      <x:c r="AF45" s="57" t="n">
        <x:v>0</x:v>
      </x:c>
      <x:c r="AG45" s="57" t="n">
        <x:v>0</x:v>
      </x:c>
      <x:c r="AH45" s="57" t="n">
        <x:v>0</x:v>
      </x:c>
      <x:c r="AI45" s="57" t="n">
        <x:f>AVERAGE(AF45:AH45)</x:f>
        <x:v>0</x:v>
      </x:c>
      <x:c r="AJ45" s="57" t="n">
        <x:f>SUM(X45,AB45,AF45)</x:f>
        <x:v>0</x:v>
      </x:c>
      <x:c r="AK45" s="57" t="n">
        <x:f>SUM(Y45,AC45,AG45)</x:f>
        <x:v>0</x:v>
      </x:c>
      <x:c r="AL45" s="57" t="n">
        <x:f>SUM(Z45,AD45,AH45)</x:f>
        <x:v>0</x:v>
      </x:c>
      <x:c r="AM45" s="57" t="n">
        <x:f>AVERAGE(AJ45:AL45)</x:f>
        <x:v>0</x:v>
      </x:c>
      <x:c r="AN45" s="35" t="str">
        <x:v>Completed: gas-rent structural zeros validated externally</x:v>
      </x:c>
      <x:c r="AO45" s="35" t="str">
        <x:v>World Bank WDI</x:v>
      </x:c>
      <x:c r="AP45" s="35" t="str">
        <x:v>WDI oil/coal + evidence-validated gas zero</x:v>
      </x:c>
      <x:c r="AQ45" s="35" t="str">
        <x:v>No</x:v>
      </x:c>
      <x:c r="AR45" s="35" t="n">
        <x:v>0</x:v>
      </x:c>
    </x:row>
    <x:row r="46">
      <x:c r="A46" s="54" t="str">
        <x:v>Somalia</x:v>
      </x:c>
      <x:c r="B46" s="54" t="str">
        <x:v>索马里</x:v>
      </x:c>
      <x:c r="C46" s="54" t="str">
        <x:v>SOM</x:v>
      </x:c>
      <x:c r="D46" s="54" t="str">
        <x:v>Lagging</x:v>
      </x:c>
      <x:c r="E46" s="54" t="str">
        <x:v>Transition-Constrained Archetype</x:v>
      </x:c>
      <x:c r="F46" s="54" t="str">
        <x:v>High stability</x:v>
      </x:c>
      <x:c r="G46" s="54"/>
      <x:c r="H46" s="57" t="n">
        <x:v>-2.050969</x:v>
      </x:c>
      <x:c r="I46" s="57" t="n">
        <x:v>-1.9766562</x:v>
      </x:c>
      <x:c r="J46" s="57" t="n">
        <x:v>-2.0010028</x:v>
      </x:c>
      <x:c r="K46" s="57" t="n">
        <x:f>AVERAGE(H46:J46)</x:f>
        <x:v>-2.009542666666667</x:v>
      </x:c>
      <x:c r="L46" s="57" t="n">
        <x:v>-2.2815589</x:v>
      </x:c>
      <x:c r="M46" s="57" t="n">
        <x:v>-2.2701767</x:v>
      </x:c>
      <x:c r="N46" s="57" t="n">
        <x:v>-2.022776</x:v>
      </x:c>
      <x:c r="O46" s="57" t="n">
        <x:f>AVERAGE(L46:N46)</x:f>
        <x:v>-2.1915038666666664</x:v>
      </x:c>
      <x:c r="P46" s="59" t="n">
        <x:v>6152149099.999415</x:v>
      </x:c>
      <x:c r="Q46" s="59" t="n">
        <x:v>6613743069.999124</x:v>
      </x:c>
      <x:c r="R46" s="59" t="n">
        <x:v>7621501710.001204</x:v>
      </x:c>
      <x:c r="S46" s="59" t="n">
        <x:f>AVERAGE(P46:R46)</x:f>
        <x:v>6795797959.999913</x:v>
      </x:c>
      <x:c r="T46" s="61" t="n">
        <x:v>445.583080073396</x:v>
      </x:c>
      <x:c r="U46" s="61" t="n">
        <x:v>460.928490585175</x:v>
      </x:c>
      <x:c r="V46" s="61" t="n">
        <x:v>510.9399523177257</x:v>
      </x:c>
      <x:c r="W46" s="61" t="n">
        <x:f>AVERAGE(T46:V46)</x:f>
        <x:v>472.4838409920989</x:v>
      </x:c>
      <x:c r="X46" s="57" t="n">
        <x:v>0</x:v>
      </x:c>
      <x:c r="Y46" s="57" t="n">
        <x:v>0</x:v>
      </x:c>
      <x:c r="Z46" s="57" t="n">
        <x:v>0</x:v>
      </x:c>
      <x:c r="AA46" s="57" t="n">
        <x:f>AVERAGE(X46:Z46)</x:f>
        <x:v>0</x:v>
      </x:c>
      <x:c r="AB46" s="57" t="n">
        <x:v>0</x:v>
      </x:c>
      <x:c r="AC46" s="57" t="n">
        <x:v>0</x:v>
      </x:c>
      <x:c r="AD46" s="57" t="n">
        <x:v>0</x:v>
      </x:c>
      <x:c r="AE46" s="57" t="n">
        <x:f>AVERAGE(AB46:AD46)</x:f>
        <x:v>0</x:v>
      </x:c>
      <x:c r="AF46" s="57" t="n">
        <x:v>0</x:v>
      </x:c>
      <x:c r="AG46" s="57" t="n">
        <x:v>0</x:v>
      </x:c>
      <x:c r="AH46" s="57" t="n">
        <x:v>0</x:v>
      </x:c>
      <x:c r="AI46" s="57" t="n">
        <x:f>AVERAGE(AF46:AH46)</x:f>
        <x:v>0</x:v>
      </x:c>
      <x:c r="AJ46" s="57" t="n">
        <x:f>SUM(X46,AB46,AF46)</x:f>
        <x:v>0</x:v>
      </x:c>
      <x:c r="AK46" s="57" t="n">
        <x:f>SUM(Y46,AC46,AG46)</x:f>
        <x:v>0</x:v>
      </x:c>
      <x:c r="AL46" s="57" t="n">
        <x:f>SUM(Z46,AD46,AH46)</x:f>
        <x:v>0</x:v>
      </x:c>
      <x:c r="AM46" s="57" t="n">
        <x:f>AVERAGE(AJ46:AL46)</x:f>
        <x:v>0</x:v>
      </x:c>
      <x:c r="AN46" s="35" t="str">
        <x:v>Original World Bank/WGI 2015-2017 data complete</x:v>
      </x:c>
      <x:c r="AO46" s="35" t="str">
        <x:v>World Bank WDI</x:v>
      </x:c>
      <x:c r="AP46" s="35" t="str">
        <x:v>World Bank WDI oil + gas + coal rents</x:v>
      </x:c>
      <x:c r="AQ46" s="35" t="str">
        <x:v>No</x:v>
      </x:c>
      <x:c r="AR46" s="35" t="n">
        <x:v>0</x:v>
      </x:c>
    </x:row>
    <x:row r="47">
      <x:c r="A47" s="54" t="str">
        <x:v>South Africa</x:v>
      </x:c>
      <x:c r="B47" s="54" t="str">
        <x:v>南非</x:v>
      </x:c>
      <x:c r="C47" s="54" t="str">
        <x:v>ZAF</x:v>
      </x:c>
      <x:c r="D47" s="54" t="str">
        <x:v>Leading</x:v>
      </x:c>
      <x:c r="E47" s="54" t="str">
        <x:v>Scale-and-Momentum Leadership Archetype</x:v>
      </x:c>
      <x:c r="F47" s="54" t="str">
        <x:v>High stability</x:v>
      </x:c>
      <x:c r="G47" s="54"/>
      <x:c r="H47" s="57" t="n">
        <x:v>0.2444848</x:v>
      </x:c>
      <x:c r="I47" s="57" t="n">
        <x:v>0.2013163</x:v>
      </x:c>
      <x:c r="J47" s="57" t="n">
        <x:v>0.2227717</x:v>
      </x:c>
      <x:c r="K47" s="57" t="n">
        <x:f>AVERAGE(H47:J47)</x:f>
        <x:v>0.2228576</x:v>
      </x:c>
      <x:c r="L47" s="57" t="n">
        <x:v>-0.3104761</x:v>
      </x:c>
      <x:c r="M47" s="57" t="n">
        <x:v>-0.3379116</x:v>
      </x:c>
      <x:c r="N47" s="57" t="n">
        <x:v>-0.3828321</x:v>
      </x:c>
      <x:c r="O47" s="57" t="n">
        <x:f>AVERAGE(L47:N47)</x:f>
        <x:v>-0.34373993333333336</x:v>
      </x:c>
      <x:c r="P47" s="59" t="n">
        <x:v>346709790458.563</x:v>
      </x:c>
      <x:c r="Q47" s="59" t="n">
        <x:v>323585509674.4806</x:v>
      </x:c>
      <x:c r="R47" s="59" t="n">
        <x:v>381448814653.4564</x:v>
      </x:c>
      <x:c r="S47" s="59" t="n">
        <x:f>AVERAGE(P47:R47)</x:f>
        <x:v>350581371595.5</x:v>
      </x:c>
      <x:c r="T47" s="61" t="n">
        <x:v>6112.273824859742</x:v>
      </x:c>
      <x:c r="U47" s="61" t="n">
        <x:v>5651.205851657492</x:v>
      </x:c>
      <x:c r="V47" s="61" t="n">
        <x:v>6618.335082557006</x:v>
      </x:c>
      <x:c r="W47" s="61" t="n">
        <x:f>AVERAGE(T47:V47)</x:f>
        <x:v>6127.271586358079</x:v>
      </x:c>
      <x:c r="X47" s="57" t="n">
        <x:v>0.194337594746037</x:v>
      </x:c>
      <x:c r="Y47" s="57" t="n">
        <x:v>0.182131538345159</x:v>
      </x:c>
      <x:c r="Z47" s="57" t="n">
        <x:v>0.291332796001722</x:v>
      </x:c>
      <x:c r="AA47" s="57" t="n">
        <x:f>AVERAGE(X47:Z47)</x:f>
        <x:v>0.22260064303097268</x:v>
      </x:c>
      <x:c r="AB47" s="57" t="n">
        <x:v>0.0232937993610495</x:v>
      </x:c>
      <x:c r="AC47" s="57" t="n">
        <x:v>0.015336308509032</x:v>
      </x:c>
      <x:c r="AD47" s="57" t="n">
        <x:v>0.012735718818607</x:v>
      </x:c>
      <x:c r="AE47" s="57" t="n">
        <x:f>AVERAGE(AB47:AD47)</x:f>
        <x:v>0.017121942229562835</x:v>
      </x:c>
      <x:c r="AF47" s="57" t="n">
        <x:v>1.49327521761507</x:v>
      </x:c>
      <x:c r="AG47" s="57" t="n">
        <x:v>1.80360544975257</x:v>
      </x:c>
      <x:c r="AH47" s="57" t="n">
        <x:v>2.06162694919848</x:v>
      </x:c>
      <x:c r="AI47" s="57" t="n">
        <x:f>AVERAGE(AF47:AH47)</x:f>
        <x:v>1.7861692055220402</x:v>
      </x:c>
      <x:c r="AJ47" s="57" t="n">
        <x:f>SUM(X47,AB47,AF47)</x:f>
        <x:v>1.7109066117221565</x:v>
      </x:c>
      <x:c r="AK47" s="57" t="n">
        <x:f>SUM(Y47,AC47,AG47)</x:f>
        <x:v>2.001073296606761</x:v>
      </x:c>
      <x:c r="AL47" s="57" t="n">
        <x:f>SUM(Z47,AD47,AH47)</x:f>
        <x:v>2.3656954640188093</x:v>
      </x:c>
      <x:c r="AM47" s="57" t="n">
        <x:f>AVERAGE(AJ47:AL47)</x:f>
        <x:v>2.0258917907825755</x:v>
      </x:c>
      <x:c r="AN47" s="35" t="str">
        <x:v>Original World Bank/WGI 2015-2017 data complete</x:v>
      </x:c>
      <x:c r="AO47" s="35" t="str">
        <x:v>World Bank WDI</x:v>
      </x:c>
      <x:c r="AP47" s="35" t="str">
        <x:v>World Bank WDI oil + gas + coal rents</x:v>
      </x:c>
      <x:c r="AQ47" s="35" t="str">
        <x:v>No</x:v>
      </x:c>
      <x:c r="AR47" s="35" t="n">
        <x:v>0</x:v>
      </x:c>
    </x:row>
    <x:row r="48">
      <x:c r="A48" s="54" t="str">
        <x:v>South Sudan</x:v>
      </x:c>
      <x:c r="B48" s="54" t="str">
        <x:v>南苏丹</x:v>
      </x:c>
      <x:c r="C48" s="54" t="str">
        <x:v>SSD</x:v>
      </x:c>
      <x:c r="D48" s="54" t="str">
        <x:v>Lagging</x:v>
      </x:c>
      <x:c r="E48" s="54" t="str">
        <x:v>Transition-Constrained Archetype</x:v>
      </x:c>
      <x:c r="F48" s="54" t="str">
        <x:v>High stability</x:v>
      </x:c>
      <x:c r="G48" s="54"/>
      <x:c r="H48" s="57" t="n">
        <x:v>-1.981766</x:v>
      </x:c>
      <x:c r="I48" s="57" t="n">
        <x:v>-2.0530042</x:v>
      </x:c>
      <x:c r="J48" s="57" t="n">
        <x:v>-2.1382221</x:v>
      </x:c>
      <x:c r="K48" s="57" t="n">
        <x:f>AVERAGE(H48:J48)</x:f>
        <x:v>-2.0576641</x:v>
      </x:c>
      <x:c r="L48" s="57" t="n">
        <x:v>-2.2792733</x:v>
      </x:c>
      <x:c r="M48" s="57" t="n">
        <x:v>-2.33343</x:v>
      </x:c>
      <x:c r="N48" s="57" t="n">
        <x:v>-2.445552</x:v>
      </x:c>
      <x:c r="O48" s="57" t="n">
        <x:f>AVERAGE(L48:N48)</x:f>
        <x:v>-2.3527517666666666</x:v>
      </x:c>
      <x:c r="P48" s="59" t="n">
        <x:v>7069000000</x:v>
      </x:c>
      <x:c r="Q48" s="59" t="n">
        <x:v>3276000000</x:v>
      </x:c>
      <x:c r="R48" s="59" t="n">
        <x:v>3571000000</x:v>
      </x:c>
      <x:c r="S48" s="59" t="n">
        <x:f>AVERAGE(P48:R48)</x:f>
        <x:v>4638666666.666667</x:v>
      </x:c>
      <x:c r="T48" s="61" t="n">
        <x:v>636</x:v>
      </x:c>
      <x:c r="U48" s="61" t="n">
        <x:v>303</x:v>
      </x:c>
      <x:c r="V48" s="61" t="n">
        <x:v>348</x:v>
      </x:c>
      <x:c r="W48" s="61" t="n">
        <x:f>AVERAGE(T48:V48)</x:f>
        <x:v>429</x:v>
      </x:c>
      <x:c r="X48" s="57" t="n">
        <x:v>10.3913729191421</x:v>
      </x:c>
      <x:c r="Y48" s="57" t="n">
        <x:v>31.3</x:v>
      </x:c>
      <x:c r="Z48" s="57" t="n">
        <x:v>31.3</x:v>
      </x:c>
      <x:c r="AA48" s="57" t="n">
        <x:f>AVERAGE(X48:Z48)</x:f>
        <x:v>24.33045763971403</x:v>
      </x:c>
      <x:c r="AB48" s="57" t="n">
        <x:v>0</x:v>
      </x:c>
      <x:c r="AC48" s="57" t="n">
        <x:v>0</x:v>
      </x:c>
      <x:c r="AD48" s="57" t="n">
        <x:v>0</x:v>
      </x:c>
      <x:c r="AE48" s="57" t="n">
        <x:f>AVERAGE(AB48:AD48)</x:f>
        <x:v>0</x:v>
      </x:c>
      <x:c r="AF48" s="57" t="n">
        <x:v>0</x:v>
      </x:c>
      <x:c r="AG48" s="57" t="n">
        <x:v>0</x:v>
      </x:c>
      <x:c r="AH48" s="57" t="n">
        <x:v>0</x:v>
      </x:c>
      <x:c r="AI48" s="57" t="n">
        <x:f>AVERAGE(AF48:AH48)</x:f>
        <x:v>0</x:v>
      </x:c>
      <x:c r="AJ48" s="57" t="n">
        <x:f>SUM(X48,AB48,AF48)</x:f>
        <x:v>10.3913729191421</x:v>
      </x:c>
      <x:c r="AK48" s="57" t="n">
        <x:f>SUM(Y48,AC48,AG48)</x:f>
        <x:v>31.3</x:v>
      </x:c>
      <x:c r="AL48" s="57" t="n">
        <x:f>SUM(Z48,AD48,AH48)</x:f>
        <x:v>31.3</x:v>
      </x:c>
      <x:c r="AM48" s="57" t="n">
        <x:f>AVERAGE(AJ48:AL48)</x:f>
        <x:v>24.33045763971403</x:v>
      </x:c>
      <x:c r="AN48" s="35" t="str">
        <x:v>Completed: UNSD GDP/GDPpc + structural gas/coal zeros + oil-rent evidence/proxy</x:v>
      </x:c>
      <x:c r="AO48" s="35" t="str">
        <x:v>UNSD SNAAMA 2015-2017 (full-window harmonization)</x:v>
      </x:c>
      <x:c r="AP48" s="35" t="str">
        <x:v>WDI oil 2015; WB oil 2016; 2017 one-year proxy; gas/coal structural zeros</x:v>
      </x:c>
      <x:c r="AQ48" s="35" t="str">
        <x:v>Yes</x:v>
      </x:c>
      <x:c r="AR48" s="35" t="n">
        <x:v>1</x:v>
      </x:c>
    </x:row>
    <x:row r="49">
      <x:c r="A49" s="54" t="str">
        <x:v>Sudan</x:v>
      </x:c>
      <x:c r="B49" s="54" t="str">
        <x:v>苏丹</x:v>
      </x:c>
      <x:c r="C49" s="54" t="str">
        <x:v>SDN</x:v>
      </x:c>
      <x:c r="D49" s="54" t="str">
        <x:v>Balancing</x:v>
      </x:c>
      <x:c r="E49" s="54" t="str">
        <x:v>System-Deepening Archetype</x:v>
      </x:c>
      <x:c r="F49" s="54" t="str">
        <x:v>High stability</x:v>
      </x:c>
      <x:c r="G49" s="54"/>
      <x:c r="H49" s="57" t="n">
        <x:v>-1.29343</x:v>
      </x:c>
      <x:c r="I49" s="57" t="n">
        <x:v>-1.2725849</x:v>
      </x:c>
      <x:c r="J49" s="57" t="n">
        <x:v>-1.2418267</x:v>
      </x:c>
      <x:c r="K49" s="57" t="n">
        <x:f>AVERAGE(H49:J49)</x:f>
        <x:v>-1.2692805333333332</x:v>
      </x:c>
      <x:c r="L49" s="57" t="n">
        <x:v>-2.0365601</x:v>
      </x:c>
      <x:c r="M49" s="57" t="n">
        <x:v>-2.1622544</x:v>
      </x:c>
      <x:c r="N49" s="57" t="n">
        <x:v>-1.9473364</x:v>
      </x:c>
      <x:c r="O49" s="57" t="n">
        <x:f>AVERAGE(L49:N49)</x:f>
        <x:v>-2.048716966666667</x:v>
      </x:c>
      <x:c r="P49" s="59" t="n">
        <x:v>51726758676.76768</x:v>
      </x:c>
      <x:c r="Q49" s="59" t="n">
        <x:v>42630376000</x:v>
      </x:c>
      <x:c r="R49" s="59" t="n">
        <x:v>41283617976.19048</x:v>
      </x:c>
      <x:c r="S49" s="59" t="n">
        <x:f>AVERAGE(P49:R49)</x:f>
        <x:v>45213584217.65272</x:v>
      </x:c>
      <x:c r="T49" s="61" t="n">
        <x:v>1292.37963867188</x:v>
      </x:c>
      <x:c r="U49" s="61" t="n">
        <x:v>1033.21594238281</x:v>
      </x:c>
      <x:c r="V49" s="61" t="n">
        <x:v>966.505676269531</x:v>
      </x:c>
      <x:c r="W49" s="61" t="n">
        <x:f>AVERAGE(T49:V49)</x:f>
        <x:v>1097.3670857747404</x:v>
      </x:c>
      <x:c r="X49" s="57" t="n">
        <x:v>0.798069583603201</x:v>
      </x:c>
      <x:c r="Y49" s="57" t="n">
        <x:v>0.586718855776161</x:v>
      </x:c>
      <x:c r="Z49" s="57" t="n">
        <x:v>0.823819483095822</x:v>
      </x:c>
      <x:c r="AA49" s="57" t="n">
        <x:f>AVERAGE(X49:Z49)</x:f>
        <x:v>0.7362026408250614</x:v>
      </x:c>
      <x:c r="AB49" s="57" t="n">
        <x:v>0</x:v>
      </x:c>
      <x:c r="AC49" s="57" t="n">
        <x:v>0</x:v>
      </x:c>
      <x:c r="AD49" s="57" t="n">
        <x:v>0</x:v>
      </x:c>
      <x:c r="AE49" s="57" t="n">
        <x:f>AVERAGE(AB49:AD49)</x:f>
        <x:v>0</x:v>
      </x:c>
      <x:c r="AF49" s="57" t="n">
        <x:v>0</x:v>
      </x:c>
      <x:c r="AG49" s="57" t="n">
        <x:v>0</x:v>
      </x:c>
      <x:c r="AH49" s="57" t="n">
        <x:v>0</x:v>
      </x:c>
      <x:c r="AI49" s="57" t="n">
        <x:f>AVERAGE(AF49:AH49)</x:f>
        <x:v>0</x:v>
      </x:c>
      <x:c r="AJ49" s="57" t="n">
        <x:f>SUM(X49,AB49,AF49)</x:f>
        <x:v>0.798069583603201</x:v>
      </x:c>
      <x:c r="AK49" s="57" t="n">
        <x:f>SUM(Y49,AC49,AG49)</x:f>
        <x:v>0.586718855776161</x:v>
      </x:c>
      <x:c r="AL49" s="57" t="n">
        <x:f>SUM(Z49,AD49,AH49)</x:f>
        <x:v>0.823819483095822</x:v>
      </x:c>
      <x:c r="AM49" s="57" t="n">
        <x:f>AVERAGE(AJ49:AL49)</x:f>
        <x:v>0.7362026408250614</x:v>
      </x:c>
      <x:c r="AN49" s="35" t="str">
        <x:v>Original World Bank/WGI 2015-2017 data complete</x:v>
      </x:c>
      <x:c r="AO49" s="35" t="str">
        <x:v>World Bank WDI</x:v>
      </x:c>
      <x:c r="AP49" s="35" t="str">
        <x:v>World Bank WDI oil + gas + coal rents</x:v>
      </x:c>
      <x:c r="AQ49" s="35" t="str">
        <x:v>No</x:v>
      </x:c>
      <x:c r="AR49" s="35" t="n">
        <x:v>0</x:v>
      </x:c>
    </x:row>
    <x:row r="50">
      <x:c r="A50" s="54" t="str">
        <x:v>United Republic of Tanzania</x:v>
      </x:c>
      <x:c r="B50" s="54" t="str">
        <x:v>坦桑尼亚</x:v>
      </x:c>
      <x:c r="C50" s="54" t="str">
        <x:v>TZA</x:v>
      </x:c>
      <x:c r="D50" s="54" t="str">
        <x:v>Leading</x:v>
      </x:c>
      <x:c r="E50" s="54" t="str">
        <x:v>Scale-and-Momentum Leadership Archetype</x:v>
      </x:c>
      <x:c r="F50" s="54" t="str">
        <x:v>Moderate stability</x:v>
      </x:c>
      <x:c r="G50" s="54"/>
      <x:c r="H50" s="57" t="n">
        <x:v>-0.3870031</x:v>
      </x:c>
      <x:c r="I50" s="57" t="n">
        <x:v>-0.3515643</x:v>
      </x:c>
      <x:c r="J50" s="57" t="n">
        <x:v>-0.357548</x:v>
      </x:c>
      <x:c r="K50" s="57" t="n">
        <x:f>AVERAGE(H50:J50)</x:f>
        <x:v>-0.36537179999999997</x:v>
      </x:c>
      <x:c r="L50" s="57" t="n">
        <x:v>-0.4767835</x:v>
      </x:c>
      <x:c r="M50" s="57" t="n">
        <x:v>-0.537573</x:v>
      </x:c>
      <x:c r="N50" s="57" t="n">
        <x:v>-0.6838297999999999</x:v>
      </x:c>
      <x:c r="O50" s="57" t="n">
        <x:f>AVERAGE(L50:N50)</x:f>
        <x:v>-0.5660620999999999</x:v>
      </x:c>
      <x:c r="P50" s="59" t="n">
        <x:v>47413919817.12405</x:v>
      </x:c>
      <x:c r="Q50" s="59" t="n">
        <x:v>49774409374.45377</x:v>
      </x:c>
      <x:c r="R50" s="59" t="n">
        <x:v>53274884532.78861</x:v>
      </x:c>
      <x:c r="S50" s="59" t="n">
        <x:f>AVERAGE(P50:R50)</x:f>
        <x:v>50154404574.78881</x:v>
      </x:c>
      <x:c r="T50" s="61" t="n">
        <x:v>939.127319335938</x:v>
      </x:c>
      <x:c r="U50" s="61" t="n">
        <x:v>953.0107421875</x:v>
      </x:c>
      <x:c r="V50" s="61" t="n">
        <x:v>986.674011230469</x:v>
      </x:c>
      <x:c r="W50" s="61" t="n">
        <x:f>AVERAGE(T50:V50)</x:f>
        <x:v>959.6040242513023</x:v>
      </x:c>
      <x:c r="X50" s="57" t="n">
        <x:v>0</x:v>
      </x:c>
      <x:c r="Y50" s="57" t="n">
        <x:v>0</x:v>
      </x:c>
      <x:c r="Z50" s="57" t="n">
        <x:v>0</x:v>
      </x:c>
      <x:c r="AA50" s="57" t="n">
        <x:f>AVERAGE(X50:Z50)</x:f>
        <x:v>0</x:v>
      </x:c>
      <x:c r="AB50" s="57" t="n">
        <x:v>0.0958189291565574</x:v>
      </x:c>
      <x:c r="AC50" s="57" t="n">
        <x:v>0.0828972587378178</x:v>
      </x:c>
      <x:c r="AD50" s="57" t="n">
        <x:v>0.0996973020864147</x:v>
      </x:c>
      <x:c r="AE50" s="57" t="n">
        <x:f>AVERAGE(AB50:AD50)</x:f>
        <x:v>0.0928044966602633</x:v>
      </x:c>
      <x:c r="AF50" s="57" t="n">
        <x:v>0.0118307165544839</x:v>
      </x:c>
      <x:c r="AG50" s="57" t="n">
        <x:v>0.0136027189325031</x:v>
      </x:c>
      <x:c r="AH50" s="57" t="n">
        <x:v>0.034308918609216</x:v>
      </x:c>
      <x:c r="AI50" s="57" t="n">
        <x:f>AVERAGE(AF50:AH50)</x:f>
        <x:v>0.019914118032067666</x:v>
      </x:c>
      <x:c r="AJ50" s="57" t="n">
        <x:f>SUM(X50,AB50,AF50)</x:f>
        <x:v>0.1076496457110413</x:v>
      </x:c>
      <x:c r="AK50" s="57" t="n">
        <x:f>SUM(Y50,AC50,AG50)</x:f>
        <x:v>0.0964999776703209</x:v>
      </x:c>
      <x:c r="AL50" s="57" t="n">
        <x:f>SUM(Z50,AD50,AH50)</x:f>
        <x:v>0.1340062206956307</x:v>
      </x:c>
      <x:c r="AM50" s="57" t="n">
        <x:f>AVERAGE(AJ50:AL50)</x:f>
        <x:v>0.11271861469233097</x:v>
      </x:c>
      <x:c r="AN50" s="35" t="str">
        <x:v>Original World Bank/WGI 2015-2017 data complete</x:v>
      </x:c>
      <x:c r="AO50" s="35" t="str">
        <x:v>World Bank WDI</x:v>
      </x:c>
      <x:c r="AP50" s="35" t="str">
        <x:v>World Bank WDI oil + gas + coal rents</x:v>
      </x:c>
      <x:c r="AQ50" s="35" t="str">
        <x:v>No</x:v>
      </x:c>
      <x:c r="AR50" s="35" t="n">
        <x:v>0</x:v>
      </x:c>
    </x:row>
    <x:row r="51">
      <x:c r="A51" s="54" t="str">
        <x:v>Togo</x:v>
      </x:c>
      <x:c r="B51" s="54" t="str">
        <x:v>多哥</x:v>
      </x:c>
      <x:c r="C51" s="54" t="str">
        <x:v>TGO</x:v>
      </x:c>
      <x:c r="D51" s="54" t="str">
        <x:v>Balancing</x:v>
      </x:c>
      <x:c r="E51" s="54" t="str">
        <x:v>System-Deepening Archetype</x:v>
      </x:c>
      <x:c r="F51" s="54" t="str">
        <x:v>High stability</x:v>
      </x:c>
      <x:c r="G51" s="54"/>
      <x:c r="H51" s="57" t="n">
        <x:v>-1.0884773</x:v>
      </x:c>
      <x:c r="I51" s="57" t="n">
        <x:v>-0.9579705</x:v>
      </x:c>
      <x:c r="J51" s="57" t="n">
        <x:v>-0.9832841</x:v>
      </x:c>
      <x:c r="K51" s="57" t="n">
        <x:f>AVERAGE(H51:J51)</x:f>
        <x:v>-1.0099106333333334</x:v>
      </x:c>
      <x:c r="L51" s="57" t="n">
        <x:v>-0.411127</x:v>
      </x:c>
      <x:c r="M51" s="57" t="n">
        <x:v>-0.280199</x:v>
      </x:c>
      <x:c r="N51" s="57" t="n">
        <x:v>-0.8358783999999999</x:v>
      </x:c>
      <x:c r="O51" s="57" t="n">
        <x:f>AVERAGE(L51:N51)</x:f>
        <x:v>-0.5090681333333333</x:v>
      </x:c>
      <x:c r="P51" s="59" t="n">
        <x:v>5755457836.018664</x:v>
      </x:c>
      <x:c r="Q51" s="59" t="n">
        <x:v>6071167584.195098</x:v>
      </x:c>
      <x:c r="R51" s="59" t="n">
        <x:v>6387424239.880101</x:v>
      </x:c>
      <x:c r="S51" s="59" t="n">
        <x:f>AVERAGE(P51:R51)</x:f>
        <x:v>6071349886.697955</x:v>
      </x:c>
      <x:c r="T51" s="61" t="n">
        <x:v>813.8946769750845</x:v>
      </x:c>
      <x:c r="U51" s="61" t="n">
        <x:v>843.1142043386753</x:v>
      </x:c>
      <x:c r="V51" s="61" t="n">
        <x:v>872.0764088457519</x:v>
      </x:c>
      <x:c r="W51" s="61" t="n">
        <x:f>AVERAGE(T51:V51)</x:f>
        <x:v>843.0284300531706</x:v>
      </x:c>
      <x:c r="X51" s="57" t="n">
        <x:v>0</x:v>
      </x:c>
      <x:c r="Y51" s="57" t="n">
        <x:v>0</x:v>
      </x:c>
      <x:c r="Z51" s="57" t="n">
        <x:v>0</x:v>
      </x:c>
      <x:c r="AA51" s="57" t="n">
        <x:f>AVERAGE(X51:Z51)</x:f>
        <x:v>0</x:v>
      </x:c>
      <x:c r="AB51" s="57" t="n">
        <x:v>0</x:v>
      </x:c>
      <x:c r="AC51" s="57" t="n">
        <x:v>0</x:v>
      </x:c>
      <x:c r="AD51" s="57" t="n">
        <x:v>0</x:v>
      </x:c>
      <x:c r="AE51" s="57" t="n">
        <x:f>AVERAGE(AB51:AD51)</x:f>
        <x:v>0</x:v>
      </x:c>
      <x:c r="AF51" s="57" t="n">
        <x:v>0</x:v>
      </x:c>
      <x:c r="AG51" s="57" t="n">
        <x:v>0</x:v>
      </x:c>
      <x:c r="AH51" s="57" t="n">
        <x:v>0</x:v>
      </x:c>
      <x:c r="AI51" s="57" t="n">
        <x:f>AVERAGE(AF51:AH51)</x:f>
        <x:v>0</x:v>
      </x:c>
      <x:c r="AJ51" s="57" t="n">
        <x:f>SUM(X51,AB51,AF51)</x:f>
        <x:v>0</x:v>
      </x:c>
      <x:c r="AK51" s="57" t="n">
        <x:f>SUM(Y51,AC51,AG51)</x:f>
        <x:v>0</x:v>
      </x:c>
      <x:c r="AL51" s="57" t="n">
        <x:f>SUM(Z51,AD51,AH51)</x:f>
        <x:v>0</x:v>
      </x:c>
      <x:c r="AM51" s="57" t="n">
        <x:f>AVERAGE(AJ51:AL51)</x:f>
        <x:v>0</x:v>
      </x:c>
      <x:c r="AN51" s="35" t="str">
        <x:v>Original World Bank/WGI 2015-2017 data complete</x:v>
      </x:c>
      <x:c r="AO51" s="35" t="str">
        <x:v>World Bank WDI</x:v>
      </x:c>
      <x:c r="AP51" s="35" t="str">
        <x:v>World Bank WDI oil + gas + coal rents</x:v>
      </x:c>
      <x:c r="AQ51" s="35" t="str">
        <x:v>No</x:v>
      </x:c>
      <x:c r="AR51" s="35" t="n">
        <x:v>0</x:v>
      </x:c>
    </x:row>
    <x:row r="52">
      <x:c r="A52" s="54" t="str">
        <x:v>Tunisia</x:v>
      </x:c>
      <x:c r="B52" s="54" t="str">
        <x:v>突尼斯</x:v>
      </x:c>
      <x:c r="C52" s="54" t="str">
        <x:v>TUN</x:v>
      </x:c>
      <x:c r="D52" s="54" t="str">
        <x:v>Leading</x:v>
      </x:c>
      <x:c r="E52" s="54" t="str">
        <x:v>Scale-and-Momentum Leadership Archetype</x:v>
      </x:c>
      <x:c r="F52" s="54" t="str">
        <x:v>Boundary-sensitive</x:v>
      </x:c>
      <x:c r="G52" s="54" t="str">
        <x:v>**</x:v>
      </x:c>
      <x:c r="H52" s="57" t="n">
        <x:v>-0.0139339</x:v>
      </x:c>
      <x:c r="I52" s="57" t="n">
        <x:v>-0.0573078</x:v>
      </x:c>
      <x:c r="J52" s="57" t="n">
        <x:v>0.0523774</x:v>
      </x:c>
      <x:c r="K52" s="57" t="n">
        <x:f>AVERAGE(H52:J52)</x:f>
        <x:v>-0.006288100000000002</x:v>
      </x:c>
      <x:c r="L52" s="57" t="n">
        <x:v>-0.681206</x:v>
      </x:c>
      <x:c r="M52" s="57" t="n">
        <x:v>-0.8275855</x:v>
      </x:c>
      <x:c r="N52" s="57" t="n">
        <x:v>-0.7432926</x:v>
      </x:c>
      <x:c r="O52" s="57" t="n">
        <x:f>AVERAGE(L52:N52)</x:f>
        <x:v>-0.7506947</x:v>
      </x:c>
      <x:c r="P52" s="59" t="n">
        <x:v>45779494041.92953</x:v>
      </x:c>
      <x:c r="Q52" s="59" t="n">
        <x:v>44360072680.44765</x:v>
      </x:c>
      <x:c r="R52" s="59" t="n">
        <x:v>42163530590.9462</x:v>
      </x:c>
      <x:c r="S52" s="59" t="n">
        <x:f>AVERAGE(P52:R52)</x:f>
        <x:v>44101032437.77445</x:v>
      </x:c>
      <x:c r="T52" s="61" t="n">
        <x:v>4014.947736864322</x:v>
      </x:c>
      <x:c r="U52" s="61" t="n">
        <x:v>3847.803544488087</x:v>
      </x:c>
      <x:c r="V52" s="61" t="n">
        <x:v>3619.032473199532</x:v>
      </x:c>
      <x:c r="W52" s="61" t="n">
        <x:f>AVERAGE(T52:V52)</x:f>
        <x:v>3827.2612515173137</x:v>
      </x:c>
      <x:c r="X52" s="57" t="n">
        <x:v>1.62596299660366</x:v>
      </x:c>
      <x:c r="Y52" s="57" t="n">
        <x:v>1.266744868786</x:v>
      </x:c>
      <x:c r="Z52" s="57" t="n">
        <x:v>1.48811485046411</x:v>
      </x:c>
      <x:c r="AA52" s="57" t="n">
        <x:f>AVERAGE(X52:Z52)</x:f>
        <x:v>1.4602742386179235</x:v>
      </x:c>
      <x:c r="AB52" s="57" t="n">
        <x:v>0.273682848307775</x:v>
      </x:c>
      <x:c r="AC52" s="57" t="n">
        <x:v>0.200869985868404</x:v>
      </x:c>
      <x:c r="AD52" s="57" t="n">
        <x:v>0.236433459699936</x:v>
      </x:c>
      <x:c r="AE52" s="57" t="n">
        <x:f>AVERAGE(AB52:AD52)</x:f>
        <x:v>0.23699543129203834</x:v>
      </x:c>
      <x:c r="AF52" s="57" t="n">
        <x:v>0</x:v>
      </x:c>
      <x:c r="AG52" s="57" t="n">
        <x:v>0</x:v>
      </x:c>
      <x:c r="AH52" s="57" t="n">
        <x:v>0</x:v>
      </x:c>
      <x:c r="AI52" s="57" t="n">
        <x:f>AVERAGE(AF52:AH52)</x:f>
        <x:v>0</x:v>
      </x:c>
      <x:c r="AJ52" s="57" t="n">
        <x:f>SUM(X52,AB52,AF52)</x:f>
        <x:v>1.899645844911435</x:v>
      </x:c>
      <x:c r="AK52" s="57" t="n">
        <x:f>SUM(Y52,AC52,AG52)</x:f>
        <x:v>1.4676148546544039</x:v>
      </x:c>
      <x:c r="AL52" s="57" t="n">
        <x:f>SUM(Z52,AD52,AH52)</x:f>
        <x:v>1.724548310164046</x:v>
      </x:c>
      <x:c r="AM52" s="57" t="n">
        <x:f>AVERAGE(AJ52:AL52)</x:f>
        <x:v>1.6972696699099616</x:v>
      </x:c>
      <x:c r="AN52" s="35" t="str">
        <x:v>Original World Bank/WGI 2015-2017 data complete</x:v>
      </x:c>
      <x:c r="AO52" s="35" t="str">
        <x:v>World Bank WDI</x:v>
      </x:c>
      <x:c r="AP52" s="35" t="str">
        <x:v>World Bank WDI oil + gas + coal rents</x:v>
      </x:c>
      <x:c r="AQ52" s="35" t="str">
        <x:v>No</x:v>
      </x:c>
      <x:c r="AR52" s="35" t="n">
        <x:v>0</x:v>
      </x:c>
    </x:row>
    <x:row r="53">
      <x:c r="A53" s="54" t="str">
        <x:v>Uganda</x:v>
      </x:c>
      <x:c r="B53" s="54" t="str">
        <x:v>乌干达</x:v>
      </x:c>
      <x:c r="C53" s="54" t="str">
        <x:v>UGA</x:v>
      </x:c>
      <x:c r="D53" s="54" t="str">
        <x:v>Balancing</x:v>
      </x:c>
      <x:c r="E53" s="54" t="str">
        <x:v>System-Deepening Archetype</x:v>
      </x:c>
      <x:c r="F53" s="54" t="str">
        <x:v>High stability</x:v>
      </x:c>
      <x:c r="G53" s="54"/>
      <x:c r="H53" s="57" t="n">
        <x:v>-0.3049149</x:v>
      </x:c>
      <x:c r="I53" s="57" t="n">
        <x:v>-0.378526</x:v>
      </x:c>
      <x:c r="J53" s="57" t="n">
        <x:v>-0.3645281</x:v>
      </x:c>
      <x:c r="K53" s="57" t="n">
        <x:f>AVERAGE(H53:J53)</x:f>
        <x:v>-0.349323</x:v>
      </x:c>
      <x:c r="L53" s="57" t="n">
        <x:v>-0.7914315</x:v>
      </x:c>
      <x:c r="M53" s="57" t="n">
        <x:v>-0.8144743</x:v>
      </x:c>
      <x:c r="N53" s="57" t="n">
        <x:v>-0.6855171</x:v>
      </x:c>
      <x:c r="O53" s="57" t="n">
        <x:f>AVERAGE(L53:N53)</x:f>
        <x:v>-0.7638076333333332</x:v>
      </x:c>
      <x:c r="P53" s="59" t="n">
        <x:v>32387183730.10015</x:v>
      </x:c>
      <x:c r="Q53" s="59" t="n">
        <x:v>29203988696.26262</x:v>
      </x:c>
      <x:c r="R53" s="59" t="n">
        <x:v>30744473841.42399</x:v>
      </x:c>
      <x:c r="S53" s="59" t="n">
        <x:f>AVERAGE(P53:R53)</x:f>
        <x:v>30778548755.92892</x:v>
      </x:c>
      <x:c r="T53" s="61" t="n">
        <x:v>862.9346103558107</x:v>
      </x:c>
      <x:c r="U53" s="61" t="n">
        <x:v>752.6965717256556</x:v>
      </x:c>
      <x:c r="V53" s="61" t="n">
        <x:v>765.2183322973606</x:v>
      </x:c>
      <x:c r="W53" s="61" t="n">
        <x:f>AVERAGE(T53:V53)</x:f>
        <x:v>793.6165047929422</x:v>
      </x:c>
      <x:c r="X53" s="57" t="n">
        <x:v>0</x:v>
      </x:c>
      <x:c r="Y53" s="57" t="n">
        <x:v>0</x:v>
      </x:c>
      <x:c r="Z53" s="57" t="n">
        <x:v>0</x:v>
      </x:c>
      <x:c r="AA53" s="57" t="n">
        <x:f>AVERAGE(X53:Z53)</x:f>
        <x:v>0</x:v>
      </x:c>
      <x:c r="AB53" s="57" t="n">
        <x:v>0</x:v>
      </x:c>
      <x:c r="AC53" s="57" t="n">
        <x:v>0</x:v>
      </x:c>
      <x:c r="AD53" s="57" t="n">
        <x:v>0</x:v>
      </x:c>
      <x:c r="AE53" s="57" t="n">
        <x:f>AVERAGE(AB53:AD53)</x:f>
        <x:v>0</x:v>
      </x:c>
      <x:c r="AF53" s="57" t="n">
        <x:v>0</x:v>
      </x:c>
      <x:c r="AG53" s="57" t="n">
        <x:v>0</x:v>
      </x:c>
      <x:c r="AH53" s="57" t="n">
        <x:v>0</x:v>
      </x:c>
      <x:c r="AI53" s="57" t="n">
        <x:f>AVERAGE(AF53:AH53)</x:f>
        <x:v>0</x:v>
      </x:c>
      <x:c r="AJ53" s="57" t="n">
        <x:f>SUM(X53,AB53,AF53)</x:f>
        <x:v>0</x:v>
      </x:c>
      <x:c r="AK53" s="57" t="n">
        <x:f>SUM(Y53,AC53,AG53)</x:f>
        <x:v>0</x:v>
      </x:c>
      <x:c r="AL53" s="57" t="n">
        <x:f>SUM(Z53,AD53,AH53)</x:f>
        <x:v>0</x:v>
      </x:c>
      <x:c r="AM53" s="57" t="n">
        <x:f>AVERAGE(AJ53:AL53)</x:f>
        <x:v>0</x:v>
      </x:c>
      <x:c r="AN53" s="35" t="str">
        <x:v>Original World Bank/WGI 2015-2017 data complete</x:v>
      </x:c>
      <x:c r="AO53" s="35" t="str">
        <x:v>World Bank WDI</x:v>
      </x:c>
      <x:c r="AP53" s="35" t="str">
        <x:v>World Bank WDI oil + gas + coal rents</x:v>
      </x:c>
      <x:c r="AQ53" s="35" t="str">
        <x:v>No</x:v>
      </x:c>
      <x:c r="AR53" s="35" t="n">
        <x:v>0</x:v>
      </x:c>
    </x:row>
    <x:row r="54">
      <x:c r="A54" s="54" t="str">
        <x:v>Zambia</x:v>
      </x:c>
      <x:c r="B54" s="54" t="str">
        <x:v>赞比亚</x:v>
      </x:c>
      <x:c r="C54" s="54" t="str">
        <x:v>ZMB</x:v>
      </x:c>
      <x:c r="D54" s="54" t="str">
        <x:v>Balancing</x:v>
      </x:c>
      <x:c r="E54" s="54" t="str">
        <x:v>System-Deepening Archetype</x:v>
      </x:c>
      <x:c r="F54" s="54" t="str">
        <x:v>High stability</x:v>
      </x:c>
      <x:c r="G54" s="54"/>
      <x:c r="H54" s="57" t="n">
        <x:v>-0.529713</x:v>
      </x:c>
      <x:c r="I54" s="57" t="n">
        <x:v>-0.5286172</x:v>
      </x:c>
      <x:c r="J54" s="57" t="n">
        <x:v>-0.4632759</x:v>
      </x:c>
      <x:c r="K54" s="57" t="n">
        <x:f>AVERAGE(H54:J54)</x:f>
        <x:v>-0.5072020333333332</x:v>
      </x:c>
      <x:c r="L54" s="57" t="n">
        <x:v>0.0822748</x:v>
      </x:c>
      <x:c r="M54" s="57" t="n">
        <x:v>-0.2072561</x:v>
      </x:c>
      <x:c r="N54" s="57" t="n">
        <x:v>-0.211102</x:v>
      </x:c>
      <x:c r="O54" s="57" t="n">
        <x:f>AVERAGE(L54:N54)</x:f>
        <x:v>-0.11202776666666668</x:v>
      </x:c>
      <x:c r="P54" s="59" t="n">
        <x:v>21251216798.77625</x:v>
      </x:c>
      <x:c r="Q54" s="59" t="n">
        <x:v>20958412538.30935</x:v>
      </x:c>
      <x:c r="R54" s="59" t="n">
        <x:v>25873601260.8353</x:v>
      </x:c>
      <x:c r="S54" s="59" t="n">
        <x:f>AVERAGE(P54:R54)</x:f>
        <x:v>22694410199.306965</x:v>
      </x:c>
      <x:c r="T54" s="61" t="n">
        <x:v>1295.877886800678</x:v>
      </x:c>
      <x:c r="U54" s="61" t="n">
        <x:v>1239.085278777133</x:v>
      </x:c>
      <x:c r="V54" s="61" t="n">
        <x:v>1483.465773280652</x:v>
      </x:c>
      <x:c r="W54" s="61" t="n">
        <x:f>AVERAGE(T54:V54)</x:f>
        <x:v>1339.476312952821</x:v>
      </x:c>
      <x:c r="X54" s="57" t="n">
        <x:v>0</x:v>
      </x:c>
      <x:c r="Y54" s="57" t="n">
        <x:v>0</x:v>
      </x:c>
      <x:c r="Z54" s="57" t="n">
        <x:v>0</x:v>
      </x:c>
      <x:c r="AA54" s="57" t="n">
        <x:f>AVERAGE(X54:Z54)</x:f>
        <x:v>0</x:v>
      </x:c>
      <x:c r="AB54" s="57" t="n">
        <x:v>0</x:v>
      </x:c>
      <x:c r="AC54" s="57" t="n">
        <x:v>0</x:v>
      </x:c>
      <x:c r="AD54" s="57" t="n">
        <x:v>0</x:v>
      </x:c>
      <x:c r="AE54" s="57" t="n">
        <x:f>AVERAGE(AB54:AD54)</x:f>
        <x:v>0</x:v>
      </x:c>
      <x:c r="AF54" s="57" t="n">
        <x:v>0.0161176960545101</x:v>
      </x:c>
      <x:c r="AG54" s="57" t="n">
        <x:v>0.0367635481547346</x:v>
      </x:c>
      <x:c r="AH54" s="57" t="n">
        <x:v>0.0966563371679943</x:v>
      </x:c>
      <x:c r="AI54" s="57" t="n">
        <x:f>AVERAGE(AF54:AH54)</x:f>
        <x:v>0.04984586045907966</x:v>
      </x:c>
      <x:c r="AJ54" s="57" t="n">
        <x:f>SUM(X54,AB54,AF54)</x:f>
        <x:v>0.0161176960545101</x:v>
      </x:c>
      <x:c r="AK54" s="57" t="n">
        <x:f>SUM(Y54,AC54,AG54)</x:f>
        <x:v>0.0367635481547346</x:v>
      </x:c>
      <x:c r="AL54" s="57" t="n">
        <x:f>SUM(Z54,AD54,AH54)</x:f>
        <x:v>0.0966563371679943</x:v>
      </x:c>
      <x:c r="AM54" s="57" t="n">
        <x:f>AVERAGE(AJ54:AL54)</x:f>
        <x:v>0.04984586045907966</x:v>
      </x:c>
      <x:c r="AN54" s="35" t="str">
        <x:v>Original World Bank/WGI 2015-2017 data complete</x:v>
      </x:c>
      <x:c r="AO54" s="35" t="str">
        <x:v>World Bank WDI</x:v>
      </x:c>
      <x:c r="AP54" s="35" t="str">
        <x:v>World Bank WDI oil + gas + coal rents</x:v>
      </x:c>
      <x:c r="AQ54" s="35" t="str">
        <x:v>No</x:v>
      </x:c>
      <x:c r="AR54" s="35" t="n">
        <x:v>0</x:v>
      </x:c>
    </x:row>
    <x:row r="55">
      <x:c r="A55" s="54" t="str">
        <x:v>Zimbabwe</x:v>
      </x:c>
      <x:c r="B55" s="54" t="str">
        <x:v>津巴布韦</x:v>
      </x:c>
      <x:c r="C55" s="54" t="str">
        <x:v>ZWE</x:v>
      </x:c>
      <x:c r="D55" s="54" t="str">
        <x:v>Balancing</x:v>
      </x:c>
      <x:c r="E55" s="54" t="str">
        <x:v>System-Deepening Archetype</x:v>
      </x:c>
      <x:c r="F55" s="54" t="str">
        <x:v>High stability</x:v>
      </x:c>
      <x:c r="G55" s="54"/>
      <x:c r="H55" s="57" t="n">
        <x:v>-0.9412802</x:v>
      </x:c>
      <x:c r="I55" s="57" t="n">
        <x:v>-0.9135411</x:v>
      </x:c>
      <x:c r="J55" s="57" t="n">
        <x:v>-0.9584326999999999</x:v>
      </x:c>
      <x:c r="K55" s="57" t="n">
        <x:f>AVERAGE(H55:J55)</x:f>
        <x:v>-0.9377513333333333</x:v>
      </x:c>
      <x:c r="L55" s="57" t="n">
        <x:v>-0.8565187999999999</x:v>
      </x:c>
      <x:c r="M55" s="57" t="n">
        <x:v>-0.9112005</x:v>
      </x:c>
      <x:c r="N55" s="57" t="n">
        <x:v>-0.8348774</x:v>
      </x:c>
      <x:c r="O55" s="57" t="n">
        <x:f>AVERAGE(L55:N55)</x:f>
        <x:v>-0.8675322333333333</x:v>
      </x:c>
      <x:c r="P55" s="59" t="n">
        <x:v>19973250000</x:v>
      </x:c>
      <x:c r="Q55" s="59" t="n">
        <x:v>20559250000</x:v>
      </x:c>
      <x:c r="R55" s="59" t="n">
        <x:v>51035657370.51794</x:v>
      </x:c>
      <x:c r="S55" s="59" t="n">
        <x:f>AVERAGE(P55:R55)</x:f>
        <x:v>30522719123.50598</x:v>
      </x:c>
      <x:c r="T55" s="61" t="n">
        <x:v>1387.126325950258</x:v>
      </x:c>
      <x:c r="U55" s="61" t="n">
        <x:v>1408.139452534312</x:v>
      </x:c>
      <x:c r="V55" s="61" t="n">
        <x:v>3445.449410201338</x:v>
      </x:c>
      <x:c r="W55" s="61" t="n">
        <x:f>AVERAGE(T55:V55)</x:f>
        <x:v>2080.2383962286362</x:v>
      </x:c>
      <x:c r="X55" s="57" t="n">
        <x:v>0.0226080767805337</x:v>
      </x:c>
      <x:c r="Y55" s="57" t="n">
        <x:v>0.0227863385971937</x:v>
      </x:c>
      <x:c r="Z55" s="57" t="n">
        <x:v>0.0475010544657409</x:v>
      </x:c>
      <x:c r="AA55" s="57" t="n">
        <x:f>AVERAGE(X55:Z55)</x:f>
        <x:v>0.030965156614489436</x:v>
      </x:c>
      <x:c r="AB55" s="57" t="n">
        <x:v>0</x:v>
      </x:c>
      <x:c r="AC55" s="57" t="n">
        <x:v>0</x:v>
      </x:c>
      <x:c r="AD55" s="57" t="n">
        <x:v>0</x:v>
      </x:c>
      <x:c r="AE55" s="57" t="n">
        <x:f>AVERAGE(AB55:AD55)</x:f>
        <x:v>0</x:v>
      </x:c>
      <x:c r="AF55" s="57" t="n">
        <x:v>0.517085951746671</x:v>
      </x:c>
      <x:c r="AG55" s="57" t="n">
        <x:v>0.231272872651529</x:v>
      </x:c>
      <x:c r="AH55" s="57" t="n">
        <x:v>0.605956461595311</x:v>
      </x:c>
      <x:c r="AI55" s="57" t="n">
        <x:f>AVERAGE(AF55:AH55)</x:f>
        <x:v>0.4514384286645037</x:v>
      </x:c>
      <x:c r="AJ55" s="57" t="n">
        <x:f>SUM(X55,AB55,AF55)</x:f>
        <x:v>0.5396940285272047</x:v>
      </x:c>
      <x:c r="AK55" s="57" t="n">
        <x:f>SUM(Y55,AC55,AG55)</x:f>
        <x:v>0.25405921124872266</x:v>
      </x:c>
      <x:c r="AL55" s="57" t="n">
        <x:f>SUM(Z55,AD55,AH55)</x:f>
        <x:v>0.653457516061052</x:v>
      </x:c>
      <x:c r="AM55" s="57" t="n">
        <x:f>AVERAGE(AJ55:AL55)</x:f>
        <x:v>0.48240358527899313</x:v>
      </x:c>
      <x:c r="AN55" s="35" t="str">
        <x:v>Original World Bank/WGI 2015-2017 data complete</x:v>
      </x:c>
      <x:c r="AO55" s="35" t="str">
        <x:v>World Bank WDI</x:v>
      </x:c>
      <x:c r="AP55" s="35" t="str">
        <x:v>World Bank WDI oil + gas + coal rents</x:v>
      </x:c>
      <x:c r="AQ55" s="35" t="str">
        <x:v>No</x:v>
      </x:c>
      <x:c r="AR55" s="35" t="n">
        <x:v>0</x:v>
      </x:c>
    </x:row>
  </x:sheetData>
  <x:conditionalFormatting sqref="AQ2:AQ55">
    <x:cfRule type="expression" dxfId="2" priority="1">
      <x:formula>AQ2="Yes"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846fe32ebe04393"/>
  </x:tableParts>
</x:worksheet>
</file>