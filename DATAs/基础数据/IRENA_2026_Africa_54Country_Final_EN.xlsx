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cd20c655e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8dd0b1da8241ea"/>
    <x:sheet xmlns:r="http://schemas.openxmlformats.org/officeDocument/2006/relationships" name="Country_Summary" sheetId="2" r:id="Recc0db8ff3e14851"/>
    <x:sheet xmlns:r="http://schemas.openxmlformats.org/officeDocument/2006/relationships" name="Raw_RE_Capacity" sheetId="3" r:id="Ra0fda814f3774c31"/>
    <x:sheet xmlns:r="http://schemas.openxmlformats.org/officeDocument/2006/relationships" name="Raw_RE_Production" sheetId="4" r:id="R457587137a76436a"/>
    <x:sheet xmlns:r="http://schemas.openxmlformats.org/officeDocument/2006/relationships" name="Raw_RE_Capacity_Share" sheetId="5" r:id="R7f45c96bacf241dc"/>
    <x:sheet xmlns:r="http://schemas.openxmlformats.org/officeDocument/2006/relationships" name="Raw_RE_Production_Share" sheetId="6" r:id="Rb99c0324aea14e17"/>
    <x:sheet xmlns:r="http://schemas.openxmlformats.org/officeDocument/2006/relationships" name="Raw_Watts_per_Capita" sheetId="7" r:id="R18d6e36a896e40a1"/>
    <x:sheet xmlns:r="http://schemas.openxmlformats.org/officeDocument/2006/relationships" name="Sample_Aggregates" sheetId="8" r:id="R2cc0a08a6406481c"/>
    <x:sheet xmlns:r="http://schemas.openxmlformats.org/officeDocument/2006/relationships" name="Indicator_Dictionary" sheetId="9" r:id="R38a4b27cef1b4df0"/>
    <x:sheet xmlns:r="http://schemas.openxmlformats.org/officeDocument/2006/relationships" name="Method_Notes" sheetId="10" r:id="R72cd157624a24bb3"/>
    <x:sheet xmlns:r="http://schemas.openxmlformats.org/officeDocument/2006/relationships" name="Electricity_Poverty_2018_2023" sheetId="11" r:id="Rbd465b86f2294d4c"/>
    <x:sheet xmlns:r="http://schemas.openxmlformats.org/officeDocument/2006/relationships" name="Nonrenewable_Path_2018_2023" sheetId="12" r:id="R49673b6a9457414d"/>
    <x:sheet xmlns:r="http://schemas.openxmlformats.org/officeDocument/2006/relationships" name="V2_Model_Indicators" sheetId="13" r:id="R07c4a2fb6740437f"/>
    <x:sheet xmlns:r="http://schemas.openxmlformats.org/officeDocument/2006/relationships" name="V2_Indicator_Dictionary" sheetId="14" r:id="R781c3f07fc6a43dd"/>
    <x:sheet xmlns:r="http://schemas.openxmlformats.org/officeDocument/2006/relationships" name="V2_Data_Quality_Notes" sheetId="15" r:id="R8feac114bff6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.00"/>
    <x:numFmt numFmtId="202" formatCode="0.00"/>
    <x:numFmt numFmtId="203" formatCode="0.0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  <x:fill>
      <x:patternFill patternType="solid">
        <x:fgColor rgb="FF1F4E78"/>
      </x:patternFill>
    </x:fill>
    <x:fill>
      <x:patternFill patternType="solid">
        <x:fgColor rgb="FFA5A5A5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92fd28f224069" /><Relationship Type="http://schemas.openxmlformats.org/officeDocument/2006/relationships/theme" Target="/xl/theme/theme1.xml" Id="R62a2a4ea26304b61" /><Relationship Type="http://schemas.openxmlformats.org/officeDocument/2006/relationships/sharedStrings" Target="/xl/sharedStrings.xml" Id="R3f63c25e2b5f47f4" /><Relationship Type="http://schemas.openxmlformats.org/officeDocument/2006/relationships/worksheet" Target="/xl/worksheets/sheet1.xml" Id="Rc68dd0b1da8241ea" /><Relationship Type="http://schemas.openxmlformats.org/officeDocument/2006/relationships/worksheet" Target="/xl/worksheets/sheet2.xml" Id="Recc0db8ff3e14851" /><Relationship Type="http://schemas.openxmlformats.org/officeDocument/2006/relationships/worksheet" Target="/xl/worksheets/sheet3.xml" Id="Ra0fda814f3774c31" /><Relationship Type="http://schemas.openxmlformats.org/officeDocument/2006/relationships/worksheet" Target="/xl/worksheets/sheet4.xml" Id="R457587137a76436a" /><Relationship Type="http://schemas.openxmlformats.org/officeDocument/2006/relationships/worksheet" Target="/xl/worksheets/sheet5.xml" Id="R7f45c96bacf241dc" /><Relationship Type="http://schemas.openxmlformats.org/officeDocument/2006/relationships/worksheet" Target="/xl/worksheets/sheet6.xml" Id="Rb99c0324aea14e17" /><Relationship Type="http://schemas.openxmlformats.org/officeDocument/2006/relationships/worksheet" Target="/xl/worksheets/sheet7.xml" Id="R18d6e36a896e40a1" /><Relationship Type="http://schemas.openxmlformats.org/officeDocument/2006/relationships/worksheet" Target="/xl/worksheets/sheet8.xml" Id="R2cc0a08a6406481c" /><Relationship Type="http://schemas.openxmlformats.org/officeDocument/2006/relationships/worksheet" Target="/xl/worksheets/sheet9.xml" Id="R38a4b27cef1b4df0" /><Relationship Type="http://schemas.openxmlformats.org/officeDocument/2006/relationships/worksheet" Target="/xl/worksheets/sheet10.xml" Id="R72cd157624a24bb3" /><Relationship Type="http://schemas.openxmlformats.org/officeDocument/2006/relationships/worksheet" Target="/xl/worksheets/sheet11.xml" Id="Rbd465b86f2294d4c" /><Relationship Type="http://schemas.openxmlformats.org/officeDocument/2006/relationships/worksheet" Target="/xl/worksheets/sheet12.xml" Id="R49673b6a9457414d" /><Relationship Type="http://schemas.openxmlformats.org/officeDocument/2006/relationships/worksheet" Target="/xl/worksheets/sheet13.xml" Id="R07c4a2fb6740437f" /><Relationship Type="http://schemas.openxmlformats.org/officeDocument/2006/relationships/worksheet" Target="/xl/worksheets/sheet14.xml" Id="R781c3f07fc6a43dd" /><Relationship Type="http://schemas.openxmlformats.org/officeDocument/2006/relationships/worksheet" Target="/xl/worksheets/sheet15.xml" Id="R8feac114bff64e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</x:cols>
  <x:sheetData>
    <x:row r="1">
      <x:c r="A1" s="10" t="str">
        <x:v>IRENA Renewable Energy Statistics 2026 — 54-country Africa dataset</x:v>
      </x:c>
      <x:c r="B1" s="10" t="str"/>
    </x:row>
    <x:row r="2">
      <x:c r="A2" s="11" t="str">
        <x:v>Purpose</x:v>
      </x:c>
      <x:c r="B2" s="12" t="str">
        <x:v>Final analysis-ready dataset aligned exactly to the 54 sovereign African countries listed in Table 2 of the paper.</x:v>
      </x:c>
    </x:row>
    <x:row r="3">
      <x:c r="A3" s="11" t="str">
        <x:v>Excluded from sample</x:v>
      </x:c>
      <x:c r="B3" s="12" t="str">
        <x:v>Réunion, Mayotte, Western Sahara, Saint Helena/Ascension/Tristan da Cunha and other non-Table-2 areas/territories are excluded from every country-level sheet and from every sample aggregate/formula.</x:v>
      </x:c>
    </x:row>
    <x:row r="4">
      <x:c r="A4" s="11" t="str">
        <x:v>Source</x:v>
      </x:c>
      <x:c r="B4" s="12" t="str">
        <x:v>IRENA (2026), Renewable energy statistics 2026, International Renewable Energy Agency, Abu Dhabi.</x:v>
      </x:c>
    </x:row>
    <x:row r="5">
      <x:c r="A5" s="11" t="str">
        <x:v>Source URL</x:v>
      </x:c>
      <x:c r="B5" s="12" t="str">
        <x:v>https://www.irena.org/Publications</x:v>
      </x:c>
    </x:row>
    <x:row r="6">
      <x:c r="A6" s="11" t="str">
        <x:v>Unit note</x:v>
      </x:c>
      <x:c r="B6" s="12" t="str">
        <x:v>Renewable capacity: MW; renewable production: GWh; renewable capacity/production share: %; watts per capita: W/person.</x:v>
      </x:c>
    </x:row>
    <x:row r="7">
      <x:c r="A7" s="11" t="str">
        <x:v>Sample-denominator rule</x:v>
      </x:c>
      <x:c r="B7" s="12" t="str">
        <x:v>All sample shares and contribution ratios in this workbook use only the 54 Table-2 countries. No IRENA 'Africa' aggregate is used in model formulas.</x:v>
      </x:c>
    </x:row>
    <x:row r="8">
      <x:c r="A8" s="11" t="str">
        <x:v>Model-ready variables</x:v>
      </x:c>
      <x:c r="B8" s="12" t="str">
        <x:v>L1-L3, D1-D3, M1-M4 are provided in Country_Summary for later CRITIC–TOPSIS + K-means analysis.</x:v>
      </x:c>
    </x:row>
    <x:row r="9">
      <x:c r="A9" s="11" t="str">
        <x:v>Diagnostic-only variables</x:v>
      </x:c>
      <x:c r="B9" s="12" t="str">
        <x:v>Raw CAGR, absolute increase and 2025 capacity rank are retained for interpretation but are not required as CRITIC model inputs.</x:v>
      </x:c>
    </x:row>
    <x:row r="10">
      <x:c r="A10" s="11" t="str">
        <x:v>Data verification</x:v>
      </x:c>
      <x:c r="B10" s="12" t="str">
        <x:v>The core source tables were re-read from the original IRENA PDF; the 54-country capacity total is 36,678 MW in 2016 and 81,443 MW in 2025.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</x:cols>
  <x:sheetData>
    <x:row r="1">
      <x:c r="A1" s="18" t="str">
        <x:v>IRENA Label</x:v>
      </x:c>
      <x:c r="B1" s="18" t="str">
        <x:v>Country</x:v>
      </x:c>
      <x:c r="C1" s="18" t="str">
        <x:v>Original Table 2 Class</x:v>
      </x:c>
      <x:c r="D1" s="18" t="str">
        <x:v>RE Capacity 2016 (MW)</x:v>
      </x:c>
      <x:c r="E1" s="18" t="str">
        <x:v>RE Capacity 2021 (MW)</x:v>
      </x:c>
      <x:c r="F1" s="18" t="str">
        <x:v>RE Capacity 2025 (MW)</x:v>
      </x:c>
      <x:c r="G1" s="18" t="str">
        <x:v>RE Production 2024 (GWh)</x:v>
      </x:c>
      <x:c r="H1" s="18" t="str">
        <x:v>RE Capacity Share 2016 (%)</x:v>
      </x:c>
      <x:c r="I1" s="18" t="str">
        <x:v>RE Capacity Share 2025 (%)</x:v>
      </x:c>
      <x:c r="J1" s="18" t="str">
        <x:v>RE Production Share 2016 (%)</x:v>
      </x:c>
      <x:c r="K1" s="18" t="str">
        <x:v>RE Production Share 2024 (%)</x:v>
      </x:c>
      <x:c r="L1" s="18" t="str">
        <x:v>Renewable W per Capita 2024</x:v>
      </x:c>
      <x:c r="M1" s="18" t="str">
        <x:v>Diagnostic CAGR 2016-2025</x:v>
      </x:c>
      <x:c r="N1" s="18" t="str">
        <x:v>Absolute Increase 2016-2025 (MW)</x:v>
      </x:c>
      <x:c r="O1" s="18" t="str">
        <x:v>54-country Increment Contribution</x:v>
      </x:c>
      <x:c r="P1" s="18" t="str">
        <x:v>2025 Capacity Rank</x:v>
      </x:c>
      <x:c r="Q1" s="18" t="str">
        <x:v>L1 = ln(1+Capacity2025)</x:v>
      </x:c>
      <x:c r="R1" s="18" t="str">
        <x:v>L2 = ln(1+Production2024)</x:v>
      </x:c>
      <x:c r="S1" s="18" t="str">
        <x:v>L3 = Increment Contribution</x:v>
      </x:c>
      <x:c r="T1" s="18" t="str">
        <x:v>D1 = Capacity Share 2025</x:v>
      </x:c>
      <x:c r="U1" s="18" t="str">
        <x:v>D2 = Production Share 2024</x:v>
      </x:c>
      <x:c r="V1" s="18" t="str">
        <x:v>D3 = ln(1+W per Capita)</x:v>
      </x:c>
      <x:c r="W1" s="18" t="str">
        <x:v>M1 = Long-run log growth</x:v>
      </x:c>
      <x:c r="X1" s="18" t="str">
        <x:v>M2 = Recent log growth</x:v>
      </x:c>
      <x:c r="Y1" s="18" t="str">
        <x:v>M3 = Capacity-share change</x:v>
      </x:c>
      <x:c r="Z1" s="18" t="str">
        <x:v>M4 = Production-share change</x:v>
      </x:c>
      <x:c r="AA1" s="41" t="str">
        <x:v>Electricity Access 2018 (%)</x:v>
      </x:c>
      <x:c r="AB1" s="41" t="str">
        <x:v>Electricity Access 2019 (%)</x:v>
      </x:c>
      <x:c r="AC1" s="41" t="str">
        <x:v>Electricity Access 2020 (%)</x:v>
      </x:c>
      <x:c r="AD1" s="41" t="str">
        <x:v>Electricity Access 2021 (%)</x:v>
      </x:c>
      <x:c r="AE1" s="41" t="str">
        <x:v>Electricity Access 2022 (%)</x:v>
      </x:c>
      <x:c r="AF1" s="41" t="str">
        <x:v>Electricity Access 2023 (%)</x:v>
      </x:c>
      <x:c r="AG1" s="41" t="str">
        <x:v>Access Change 2018-2023 (pp)</x:v>
      </x:c>
      <x:c r="AH1" s="41" t="str">
        <x:v>Population Without Electricity 2023 (million)</x:v>
      </x:c>
      <x:c r="AI1" s="41" t="str">
        <x:v>Rural Electricity Access 2023 (%)</x:v>
      </x:c>
      <x:c r="AJ1" s="41" t="str">
        <x:v>Urban Electricity Access 2023 (%)</x:v>
      </x:c>
      <x:c r="AK1" s="41" t="str">
        <x:v>Urban-Rural Access Gap 2023 (pp)</x:v>
      </x:c>
      <x:c r="AL1" s="41" t="str">
        <x:v>Electricity Final Consumption per Capita 2023 (kWh)</x:v>
      </x:c>
      <x:c r="AM1" s="41" t="str">
        <x:v>Electricity Generation per Capita 2023 (kWh)</x:v>
      </x:c>
      <x:c r="AN1" s="41" t="str">
        <x:v>Non-renewable Installed Capacity 2018 (MW)</x:v>
      </x:c>
      <x:c r="AO1" s="41" t="str">
        <x:v>Non-renewable Installed Capacity 2023 (MW)</x:v>
      </x:c>
      <x:c r="AP1" s="41" t="str">
        <x:v>Total Installed Capacity 2018 (MW)</x:v>
      </x:c>
      <x:c r="AQ1" s="41" t="str">
        <x:v>Total Installed Capacity 2023 (MW)</x:v>
      </x:c>
      <x:c r="AR1" s="41" t="str">
        <x:v>Non-renewable Capacity Share 2018</x:v>
      </x:c>
      <x:c r="AS1" s="41" t="str">
        <x:v>Non-renewable Capacity Share 2023</x:v>
      </x:c>
      <x:c r="AT1" s="41" t="str">
        <x:v>Non-renewable Capacity Share Change 2018-2023</x:v>
      </x:c>
      <x:c r="AU1" s="41" t="str">
        <x:v>Non-renewable Capacity Log Growth 2018-2023</x:v>
      </x:c>
    </x:row>
    <x:row r="2">
      <x:c r="A2" t="str">
        <x:v>Algeria</x:v>
      </x:c>
      <x:c r="B2" t="str">
        <x:v>Algeria</x:v>
      </x:c>
      <x:c r="C2" t="str">
        <x:v>Lagging</x:v>
      </x:c>
      <x:c r="D2" s="24" t="n">
        <x:v>500</x:v>
      </x:c>
      <x:c r="E2" s="24" t="n">
        <x:v>506</x:v>
      </x:c>
      <x:c r="F2" s="24" t="n">
        <x:v>601</x:v>
      </x:c>
      <x:c r="G2" s="24" t="n">
        <x:v>926</x:v>
      </x:c>
      <x:c r="H2" s="26" t="n">
        <x:v>2.5</x:v>
      </x:c>
      <x:c r="I2" s="26" t="n">
        <x:v>2.1</x:v>
      </x:c>
      <x:c r="J2" s="26" t="n">
        <x:v>0.7</x:v>
      </x:c>
      <x:c r="K2" s="26" t="n">
        <x:v>1</x:v>
      </x:c>
      <x:c r="L2" s="26" t="n">
        <x:v>12.8</x:v>
      </x:c>
      <x:c r="M2" s="22" t="n">
        <x:f>IF(D2&gt;0,(F2/D2)^(1/9)-1,"")</x:f>
        <x:v>0.020653370756162026</x:v>
      </x:c>
      <x:c r="N2" s="24" t="n">
        <x:f>F2-D2</x:f>
        <x:v>101</x:v>
      </x:c>
      <x:c r="O2" s="22" t="n">
        <x:f>N2/SUM($N$2:$N$55)</x:f>
        <x:v>0.002256226963029152</x:v>
      </x:c>
      <x:c r="P2" t="n">
        <x:f>1+COUNTIF($F$2:$F$55,"&gt;"&amp;F2)</x:f>
        <x:v>23</x:v>
      </x:c>
      <x:c r="Q2" s="28" t="n">
        <x:f>LN(1+F2)</x:f>
        <x:v>6.400257445308821</x:v>
      </x:c>
      <x:c r="R2" s="28" t="n">
        <x:f>LN(1+G2)</x:f>
        <x:v>6.831953565565855</x:v>
      </x:c>
      <x:c r="S2" s="28" t="n">
        <x:f>O2</x:f>
        <x:v>0.002256226963029152</x:v>
      </x:c>
      <x:c r="T2" s="28" t="n">
        <x:f>I2/100</x:f>
        <x:v>0.021</x:v>
      </x:c>
      <x:c r="U2" s="28" t="n">
        <x:f>K2/100</x:f>
        <x:v>0.01</x:v>
      </x:c>
      <x:c r="V2" s="28" t="n">
        <x:f>LN(1+L2)</x:f>
        <x:v>2.624668592163159</x:v>
      </x:c>
      <x:c r="W2" s="28" t="n">
        <x:f>(LN(1+F2)-LN(1+D2))/9</x:f>
        <x:v>0.020405704913772915</x:v>
      </x:c>
      <x:c r="X2" s="28" t="n">
        <x:f>(LN(1+F2)-LN(1+E2))/4</x:f>
        <x:v>0.04293661042940933</x:v>
      </x:c>
      <x:c r="Y2" s="28" t="n">
        <x:f>I2-H2</x:f>
        <x:v>-0.3999999999999999</x:v>
      </x:c>
      <x:c r="Z2" s="28" t="n">
        <x:f>K2-J2</x:f>
        <x:v>0.30000000000000004</x:v>
      </x:c>
      <x:c r="AA2" s="26" t="n">
        <x:v>99.64</x:v>
      </x:c>
      <x:c r="AB2" s="26" t="n">
        <x:v>99.5</x:v>
      </x:c>
      <x:c r="AC2" s="26" t="n">
        <x:v>99.72</x:v>
      </x:c>
      <x:c r="AD2" s="26" t="n">
        <x:v>99.79</x:v>
      </x:c>
      <x:c r="AE2" s="26" t="n">
        <x:v>99.84</x:v>
      </x:c>
      <x:c r="AF2" s="26" t="n">
        <x:v>99.74</x:v>
      </x:c>
      <x:c r="AG2" s="26" t="n">
        <x:f>AF2-AA2</x:f>
        <x:v>0.09999999999999432</x:v>
      </x:c>
      <x:c r="AH2" s="26" t="n">
        <x:v>0.12</x:v>
      </x:c>
      <x:c r="AI2" s="26" t="n">
        <x:v>98.94</x:v>
      </x:c>
      <x:c r="AJ2" s="26" t="n">
        <x:v>100</x:v>
      </x:c>
      <x:c r="AK2" s="26" t="n">
        <x:f>AJ2-AI2</x:f>
        <x:v>1.0600000000000023</x:v>
      </x:c>
      <x:c r="AL2" s="24" t="n">
        <x:v>1580.05</x:v>
      </x:c>
      <x:c r="AM2" s="24" t="n">
        <x:v>1992</x:v>
      </x:c>
      <x:c r="AN2" s="24" t="n">
        <x:v>21583.26</x:v>
      </x:c>
      <x:c r="AO2" s="24" t="n">
        <x:v>27218.86</x:v>
      </x:c>
      <x:c r="AP2" s="24" t="n">
        <x:v>22188</x:v>
      </x:c>
      <x:c r="AQ2" s="24" t="n">
        <x:v>27819.56</x:v>
      </x:c>
      <x:c r="AR2" s="22" t="n">
        <x:f>IF(AP2&gt;0,AN2/AP2,"")</x:f>
        <x:v>0.9727447268793942</x:v>
      </x:c>
      <x:c r="AS2" s="22" t="n">
        <x:f>IF(AQ2&gt;0,AO2/AQ2,"")</x:f>
        <x:v>0.9784072789073587</x:v>
      </x:c>
      <x:c r="AT2" s="22" t="n">
        <x:f>AS2-AR2</x:f>
        <x:v>0.005662552027964507</x:v>
      </x:c>
      <x:c r="AU2" s="28" t="n">
        <x:f>(LN(1+AO2)-LN(1+AN2))/5</x:f>
        <x:v>0.046396501716054674</x:v>
      </x:c>
    </x:row>
    <x:row r="3">
      <x:c r="A3" t="str">
        <x:v>Angola</x:v>
      </x:c>
      <x:c r="B3" t="str">
        <x:v>Angola</x:v>
      </x:c>
      <x:c r="C3" t="str">
        <x:v>Balancing</x:v>
      </x:c>
      <x:c r="D3" s="24" t="n">
        <x:v>1752</x:v>
      </x:c>
      <x:c r="E3" s="24" t="n">
        <x:v>3782</x:v>
      </x:c>
      <x:c r="F3" s="24" t="n">
        <x:v>4165</x:v>
      </x:c>
      <x:c r="G3" s="24" t="n">
        <x:v>14516</x:v>
      </x:c>
      <x:c r="H3" s="26" t="n">
        <x:v>55.9</x:v>
      </x:c>
      <x:c r="I3" s="26" t="n">
        <x:v>63.9</x:v>
      </x:c>
      <x:c r="J3" s="26" t="n">
        <x:v>52.6</x:v>
      </x:c>
      <x:c r="K3" s="26" t="n">
        <x:v>74.1</x:v>
      </x:c>
      <x:c r="L3" s="26" t="n">
        <x:v>109.3</x:v>
      </x:c>
      <x:c r="M3" s="22" t="n">
        <x:f>IF(D3&gt;0,(F3/D3)^(1/9)-1,"")</x:f>
        <x:v>0.10099860092834811</x:v>
      </x:c>
      <x:c r="N3" s="24" t="n">
        <x:f>F3-D3</x:f>
        <x:v>2413</x:v>
      </x:c>
      <x:c r="O3" s="22" t="n">
        <x:f>N3/SUM($N$2:$N$55)</x:f>
        <x:v>0.053903719423656876</x:v>
      </x:c>
      <x:c r="P3" t="n">
        <x:f>1+COUNTIF($F$2:$F$55,"&gt;"&amp;F3)</x:f>
        <x:v>5</x:v>
      </x:c>
      <x:c r="Q3" s="28" t="n">
        <x:f>LN(1+F3)</x:f>
        <x:v>8.334711621820917</x:v>
      </x:c>
      <x:c r="R3" s="28" t="n">
        <x:f>LN(1+G3)</x:f>
        <x:v>9.583075655461428</x:v>
      </x:c>
      <x:c r="S3" s="28" t="n">
        <x:f>O3</x:f>
        <x:v>0.053903719423656876</x:v>
      </x:c>
      <x:c r="T3" s="28" t="n">
        <x:f>I3/100</x:f>
        <x:v>0.639</x:v>
      </x:c>
      <x:c r="U3" s="28" t="n">
        <x:f>K3/100</x:f>
        <x:v>0.741</x:v>
      </x:c>
      <x:c r="V3" s="28" t="n">
        <x:f>LN(1+L3)</x:f>
        <x:v>4.703203926259457</x:v>
      </x:c>
      <x:c r="W3" s="28" t="n">
        <x:f>(LN(1+F3)-LN(1+D3))/9</x:f>
        <x:v>0.09618085965552028</x:v>
      </x:c>
      <x:c r="X3" s="28" t="n">
        <x:f>(LN(1+F3)-LN(1+E3))/4</x:f>
        <x:v>0.02410974929697174</x:v>
      </x:c>
      <x:c r="Y3" s="28" t="n">
        <x:f>I3-H3</x:f>
        <x:v>8</x:v>
      </x:c>
      <x:c r="Z3" s="28" t="n">
        <x:f>K3-J3</x:f>
        <x:v>21.499999999999993</x:v>
      </x:c>
      <x:c r="AA3" s="26" t="n">
        <x:v>45.29</x:v>
      </x:c>
      <x:c r="AB3" s="26" t="n">
        <x:v>45.63</x:v>
      </x:c>
      <x:c r="AC3" s="26" t="n">
        <x:v>46.96</x:v>
      </x:c>
      <x:c r="AD3" s="26" t="n">
        <x:v>48.22</x:v>
      </x:c>
      <x:c r="AE3" s="26" t="n">
        <x:v>48.47</x:v>
      </x:c>
      <x:c r="AF3" s="26" t="n">
        <x:v>51.08</x:v>
      </x:c>
      <x:c r="AG3" s="26" t="n">
        <x:f>AF3-AA3</x:f>
        <x:v>5.789999999999999</x:v>
      </x:c>
      <x:c r="AH3" s="26" t="n">
        <x:v>17.66</x:v>
      </x:c>
      <x:c r="AI3" s="26" t="n">
        <x:v>2.78</x:v>
      </x:c>
      <x:c r="AJ3" s="26" t="n">
        <x:v>73.1</x:v>
      </x:c>
      <x:c r="AK3" s="26" t="n">
        <x:f>AJ3-AI3</x:f>
        <x:v>70.32</x:v>
      </x:c>
      <x:c r="AL3" s="24" t="n">
        <x:v>318.11</x:v>
      </x:c>
      <x:c r="AM3" s="24" t="n">
        <x:v>438.4</x:v>
      </x:c>
      <x:c r="AN3" s="24" t="n">
        <x:v>2337.06</x:v>
      </x:c>
      <x:c r="AO3" s="24" t="n">
        <x:v>2357.06</x:v>
      </x:c>
      <x:c r="AP3" s="24" t="n">
        <x:v>5449.77</x:v>
      </x:c>
      <x:c r="AQ3" s="24" t="n">
        <x:v>6447.79</x:v>
      </x:c>
      <x:c r="AR3" s="22" t="n">
        <x:f>IF(AP3&gt;0,AN3/AP3,"")</x:f>
        <x:v>0.42883644630874324</x:v>
      </x:c>
      <x:c r="AS3" s="22" t="n">
        <x:f>IF(AQ3&gt;0,AO3/AQ3,"")</x:f>
        <x:v>0.3655609131190687</x:v>
      </x:c>
      <x:c r="AT3" s="22" t="n">
        <x:f>AS3-AR3</x:f>
        <x:v>-0.06327553318967455</x:v>
      </x:c>
      <x:c r="AU3" s="28" t="n">
        <x:f>(LN(1+AO3)-LN(1+AN3))/5</x:f>
        <x:v>0.0017035442807381783</x:v>
      </x:c>
    </x:row>
    <x:row r="4">
      <x:c r="A4" t="str">
        <x:v>Benin</x:v>
      </x:c>
      <x:c r="B4" t="str">
        <x:v>Benin</x:v>
      </x:c>
      <x:c r="C4" t="str">
        <x:v>Lagging</x:v>
      </x:c>
      <x:c r="D4" s="24" t="n">
        <x:v>3</x:v>
      </x:c>
      <x:c r="E4" s="24" t="n">
        <x:v>7</x:v>
      </x:c>
      <x:c r="F4" s="24" t="n">
        <x:v>36</x:v>
      </x:c>
      <x:c r="G4" s="24" t="n">
        <x:v>49</x:v>
      </x:c>
      <x:c r="H4" s="26" t="n">
        <x:v>1.3</x:v>
      </x:c>
      <x:c r="I4" s="26" t="n">
        <x:v>10.6</x:v>
      </x:c>
      <x:c r="J4" s="26" t="n">
        <x:v>1.3</x:v>
      </x:c>
      <x:c r="K4" s="26" t="n">
        <x:v>3.5</x:v>
      </x:c>
      <x:c r="L4" s="26" t="n">
        <x:v>2.5</x:v>
      </x:c>
      <x:c r="M4" s="22" t="n">
        <x:f>IF(D4&gt;0,(F4/D4)^(1/9)-1,"")</x:f>
        <x:v>0.3179806292130023</x:v>
      </x:c>
      <x:c r="N4" s="24" t="n">
        <x:f>F4-D4</x:f>
        <x:v>33</x:v>
      </x:c>
      <x:c r="O4" s="22" t="n">
        <x:f>N4/SUM($N$2:$N$55)</x:f>
        <x:v>0.0007371830671283368</x:v>
      </x:c>
      <x:c r="P4" t="n">
        <x:f>1+COUNTIF($F$2:$F$55,"&gt;"&amp;F4)</x:f>
        <x:v>47</x:v>
      </x:c>
      <x:c r="Q4" s="28" t="n">
        <x:f>LN(1+F4)</x:f>
        <x:v>3.6109179126442243</x:v>
      </x:c>
      <x:c r="R4" s="28" t="n">
        <x:f>LN(1+G4)</x:f>
        <x:v>3.912023005428146</x:v>
      </x:c>
      <x:c r="S4" s="28" t="n">
        <x:f>O4</x:f>
        <x:v>0.0007371830671283368</x:v>
      </x:c>
      <x:c r="T4" s="28" t="n">
        <x:f>I4/100</x:f>
        <x:v>0.106</x:v>
      </x:c>
      <x:c r="U4" s="28" t="n">
        <x:f>K4/100</x:f>
        <x:v>0.035</x:v>
      </x:c>
      <x:c r="V4" s="28" t="n">
        <x:f>LN(1+L4)</x:f>
        <x:v>1.252762968495368</x:v>
      </x:c>
      <x:c r="W4" s="28" t="n">
        <x:f>(LN(1+F4)-LN(1+D4))/9</x:f>
        <x:v>0.24718039461381489</x:v>
      </x:c>
      <x:c r="X4" s="28" t="n">
        <x:f>(LN(1+F4)-LN(1+E4))/4</x:f>
        <x:v>0.38286909274109715</x:v>
      </x:c>
      <x:c r="Y4" s="28" t="n">
        <x:f>I4-H4</x:f>
        <x:v>9.299999999999999</x:v>
      </x:c>
      <x:c r="Z4" s="28" t="n">
        <x:f>K4-J4</x:f>
        <x:v>2.2</x:v>
      </x:c>
      <x:c r="AA4" s="26" t="n">
        <x:v>39.01</x:v>
      </x:c>
      <x:c r="AB4" s="26" t="n">
        <x:v>40</x:v>
      </x:c>
      <x:c r="AC4" s="26" t="n">
        <x:v>40.99</x:v>
      </x:c>
      <x:c r="AD4" s="26" t="n">
        <x:v>41.97</x:v>
      </x:c>
      <x:c r="AE4" s="26" t="n">
        <x:v>56.5</x:v>
      </x:c>
      <x:c r="AF4" s="26" t="n">
        <x:v>57</x:v>
      </x:c>
      <x:c r="AG4" s="26" t="n">
        <x:f>AF4-AA4</x:f>
        <x:v>17.990000000000002</x:v>
      </x:c>
      <x:c r="AH4" s="26" t="n">
        <x:v>5.64</x:v>
      </x:c>
      <x:c r="AI4" s="26" t="n">
        <x:v>43.67</x:v>
      </x:c>
      <x:c r="AJ4" s="26" t="n">
        <x:v>70.28</x:v>
      </x:c>
      <x:c r="AK4" s="26" t="n">
        <x:f>AJ4-AI4</x:f>
        <x:v>26.61</x:v>
      </x:c>
      <x:c r="AL4" s="24" t="n">
        <x:v>118.45</x:v>
      </x:c>
      <x:c r="AM4" s="24" t="n">
        <x:v>46.33</x:v>
      </x:c>
      <x:c r="AN4" s="24" t="n">
        <x:v>174</x:v>
      </x:c>
      <x:c r="AO4" s="24" t="n">
        <x:v>301</x:v>
      </x:c>
      <x:c r="AP4" s="24" t="n">
        <x:v>177.09</x:v>
      </x:c>
      <x:c r="AQ4" s="24" t="n">
        <x:v>336.76</x:v>
      </x:c>
      <x:c r="AR4" s="22" t="n">
        <x:f>IF(AP4&gt;0,AN4/AP4,"")</x:f>
        <x:v>0.9825512451295951</x:v>
      </x:c>
      <x:c r="AS4" s="22" t="n">
        <x:f>IF(AQ4&gt;0,AO4/AQ4,"")</x:f>
        <x:v>0.8938116165815417</x:v>
      </x:c>
      <x:c r="AT4" s="22" t="n">
        <x:f>AS4-AR4</x:f>
        <x:v>-0.0887396285480534</x:v>
      </x:c>
      <x:c r="AU4" s="28" t="n">
        <x:f>(LN(1+AO4)-LN(1+AN4))/5</x:f>
        <x:v>0.10912820869027104</x:v>
      </x:c>
    </x:row>
    <x:row r="5">
      <x:c r="A5" t="str">
        <x:v>Botswana</x:v>
      </x:c>
      <x:c r="B5" t="str">
        <x:v>Botswana</x:v>
      </x:c>
      <x:c r="C5" t="str">
        <x:v>Balancing</x:v>
      </x:c>
      <x:c r="D5" s="24" t="n">
        <x:v>3</x:v>
      </x:c>
      <x:c r="E5" s="24" t="n">
        <x:v>6</x:v>
      </x:c>
      <x:c r="F5" s="24" t="n">
        <x:v>169</x:v>
      </x:c>
      <x:c r="G5" s="24" t="n">
        <x:v>6</x:v>
      </x:c>
      <x:c r="H5" s="26" t="n">
        <x:v>0.4</x:v>
      </x:c>
      <x:c r="I5" s="26" t="n">
        <x:v>15.6</x:v>
      </x:c>
      <x:c r="J5" s="26" t="n">
        <x:v>0.2</x:v>
      </x:c>
      <x:c r="K5" s="26" t="n">
        <x:v>0.2</x:v>
      </x:c>
      <x:c r="L5" s="26" t="n">
        <x:v>4.1</x:v>
      </x:c>
      <x:c r="M5" s="22" t="n">
        <x:f>IF(D5&gt;0,(F5/D5)^(1/9)-1,"")</x:f>
        <x:v>0.5650546038592328</x:v>
      </x:c>
      <x:c r="N5" s="24" t="n">
        <x:f>F5-D5</x:f>
        <x:v>166</x:v>
      </x:c>
      <x:c r="O5" s="22" t="n">
        <x:f>N5/SUM($N$2:$N$55)</x:f>
        <x:v>0.003708254216463755</x:v>
      </x:c>
      <x:c r="P5" t="n">
        <x:f>1+COUNTIF($F$2:$F$55,"&gt;"&amp;F5)</x:f>
        <x:v>33</x:v>
      </x:c>
      <x:c r="Q5" s="28" t="n">
        <x:f>LN(1+F5)</x:f>
        <x:v>5.135798437050262</x:v>
      </x:c>
      <x:c r="R5" s="28" t="n">
        <x:f>LN(1+G5)</x:f>
        <x:v>1.9459101490553132</x:v>
      </x:c>
      <x:c r="S5" s="28" t="n">
        <x:f>O5</x:f>
        <x:v>0.003708254216463755</x:v>
      </x:c>
      <x:c r="T5" s="28" t="n">
        <x:f>I5/100</x:f>
        <x:v>0.156</x:v>
      </x:c>
      <x:c r="U5" s="28" t="n">
        <x:f>K5/100</x:f>
        <x:v>0.002</x:v>
      </x:c>
      <x:c r="V5" s="28" t="n">
        <x:f>LN(1+L5)</x:f>
        <x:v>1.62924053973028</x:v>
      </x:c>
      <x:c r="W5" s="28" t="n">
        <x:f>(LN(1+F5)-LN(1+D5))/9</x:f>
        <x:v>0.41661156399226346</x:v>
      </x:c>
      <x:c r="X5" s="28" t="n">
        <x:f>(LN(1+F5)-LN(1+E5))/4</x:f>
        <x:v>0.7974720719987372</x:v>
      </x:c>
      <x:c r="Y5" s="28" t="n">
        <x:f>I5-H5</x:f>
        <x:v>15.2</x:v>
      </x:c>
      <x:c r="Z5" s="28" t="n">
        <x:f>K5-J5</x:f>
        <x:v>0</x:v>
      </x:c>
      <x:c r="AA5" s="26" t="n">
        <x:v>68.25</x:v>
      </x:c>
      <x:c r="AB5" s="26" t="n">
        <x:v>70.1</x:v>
      </x:c>
      <x:c r="AC5" s="26" t="n">
        <x:v>71.83</x:v>
      </x:c>
      <x:c r="AD5" s="26" t="n">
        <x:v>73.73</x:v>
      </x:c>
      <x:c r="AE5" s="26" t="n">
        <x:v>75.94</x:v>
      </x:c>
      <x:c r="AF5" s="26" t="n">
        <x:v>76.05</x:v>
      </x:c>
      <x:c r="AG5" s="26" t="n">
        <x:f>AF5-AA5</x:f>
        <x:v>7.799999999999997</x:v>
      </x:c>
      <x:c r="AH5" s="26" t="n">
        <x:v>0.61</x:v>
      </x:c>
      <x:c r="AI5" s="26" t="n">
        <x:v>17.9</x:v>
      </x:c>
      <x:c r="AJ5" s="26" t="n">
        <x:v>97.7</x:v>
      </x:c>
      <x:c r="AK5" s="26" t="n">
        <x:f>AJ5-AI5</x:f>
        <x:v>79.80000000000001</x:v>
      </x:c>
      <x:c r="AL5" s="24" t="n">
        <x:v>1405.17</x:v>
      </x:c>
      <x:c r="AM5" s="24" t="n">
        <x:v>1278.8</x:v>
      </x:c>
      <x:c r="AN5" s="24" t="n">
        <x:v>917</x:v>
      </x:c>
      <x:c r="AO5" s="24" t="n">
        <x:v>917</x:v>
      </x:c>
      <x:c r="AP5" s="24" t="n">
        <x:v>920.72</x:v>
      </x:c>
      <x:c r="AQ5" s="24" t="n">
        <x:v>927.3</x:v>
      </x:c>
      <x:c r="AR5" s="22" t="n">
        <x:f>IF(AP5&gt;0,AN5/AP5,"")</x:f>
        <x:v>0.9959596837257798</x:v>
      </x:c>
      <x:c r="AS5" s="22" t="n">
        <x:f>IF(AQ5&gt;0,AO5/AQ5,"")</x:f>
        <x:v>0.9888924835544053</x:v>
      </x:c>
      <x:c r="AT5" s="22" t="n">
        <x:f>AS5-AR5</x:f>
        <x:v>-0.007067200171374521</x:v>
      </x:c>
      <x:c r="AU5" s="28" t="n">
        <x:f>(LN(1+AO5)-LN(1+AN5))/5</x:f>
        <x:v>0</x:v>
      </x:c>
    </x:row>
    <x:row r="6">
      <x:c r="A6" t="str">
        <x:v>Burkina Faso</x:v>
      </x:c>
      <x:c r="B6" t="str">
        <x:v>Burkina Faso</x:v>
      </x:c>
      <x:c r="C6" t="str">
        <x:v>Lagging</x:v>
      </x:c>
      <x:c r="D6" s="24" t="n">
        <x:v>36</x:v>
      </x:c>
      <x:c r="E6" s="24" t="n">
        <x:v>92</x:v>
      </x:c>
      <x:c r="F6" s="24" t="n">
        <x:v>251</x:v>
      </x:c>
      <x:c r="G6" s="24" t="n">
        <x:v>461</x:v>
      </x:c>
      <x:c r="H6" s="26" t="n">
        <x:v>11</x:v>
      </x:c>
      <x:c r="I6" s="26" t="n">
        <x:v>38.8</x:v>
      </x:c>
      <x:c r="J6" s="26" t="n">
        <x:v>14.8</x:v>
      </x:c>
      <x:c r="K6" s="26" t="n">
        <x:v>31.6</x:v>
      </x:c>
      <x:c r="L6" s="26" t="n">
        <x:v>10.2</x:v>
      </x:c>
      <x:c r="M6" s="22" t="n">
        <x:f>IF(D6&gt;0,(F6/D6)^(1/9)-1,"")</x:f>
        <x:v>0.24081750984562333</x:v>
      </x:c>
      <x:c r="N6" s="24" t="n">
        <x:f>F6-D6</x:f>
        <x:v>215</x:v>
      </x:c>
      <x:c r="O6" s="22" t="n">
        <x:f>N6/SUM($N$2:$N$55)</x:f>
        <x:v>0.004802859376745225</x:v>
      </x:c>
      <x:c r="P6" t="n">
        <x:f>1+COUNTIF($F$2:$F$55,"&gt;"&amp;F6)</x:f>
        <x:v>29</x:v>
      </x:c>
      <x:c r="Q6" s="28" t="n">
        <x:f>LN(1+F6)</x:f>
        <x:v>5.529429087511423</x:v>
      </x:c>
      <x:c r="R6" s="28" t="n">
        <x:f>LN(1+G6)</x:f>
        <x:v>6.135564891081739</x:v>
      </x:c>
      <x:c r="S6" s="28" t="n">
        <x:f>O6</x:f>
        <x:v>0.004802859376745225</x:v>
      </x:c>
      <x:c r="T6" s="28" t="n">
        <x:f>I6/100</x:f>
        <x:v>0.38799999999999996</x:v>
      </x:c>
      <x:c r="U6" s="28" t="n">
        <x:f>K6/100</x:f>
        <x:v>0.316</x:v>
      </x:c>
      <x:c r="V6" s="28" t="n">
        <x:f>LN(1+L6)</x:f>
        <x:v>2.4159137783010487</x:v>
      </x:c>
      <x:c r="W6" s="28" t="n">
        <x:f>(LN(1+F6)-LN(1+D6))/9</x:f>
        <x:v>0.21316790831857768</x:v>
      </x:c>
      <x:c r="X6" s="28" t="n">
        <x:f>(LN(1+F6)-LN(1+E6))/4</x:f>
        <x:v>0.24920739858954177</x:v>
      </x:c>
      <x:c r="Y6" s="28" t="n">
        <x:f>I6-H6</x:f>
        <x:v>27.799999999999997</x:v>
      </x:c>
      <x:c r="Z6" s="28" t="n">
        <x:f>K6-J6</x:f>
        <x:v>16.8</x:v>
      </x:c>
      <x:c r="AA6" s="26" t="n">
        <x:v>14.4</x:v>
      </x:c>
      <x:c r="AB6" s="26" t="n">
        <x:v>17.6</x:v>
      </x:c>
      <x:c r="AC6" s="26" t="n">
        <x:v>18.47</x:v>
      </x:c>
      <x:c r="AD6" s="26" t="n">
        <x:v>18.95</x:v>
      </x:c>
      <x:c r="AE6" s="26" t="n">
        <x:v>18.99</x:v>
      </x:c>
      <x:c r="AF6" s="26" t="n">
        <x:v>21.72</x:v>
      </x:c>
      <x:c r="AG6" s="26" t="n">
        <x:f>AF6-AA6</x:f>
        <x:v>7.3199999999999985</x:v>
      </x:c>
      <x:c r="AH6" s="26" t="n">
        <x:v>17.79</x:v>
      </x:c>
      <x:c r="AI6" s="26" t="n">
        <x:v>2.01</x:v>
      </x:c>
      <x:c r="AJ6" s="26" t="n">
        <x:v>62.61</x:v>
      </x:c>
      <x:c r="AK6" s="26" t="n">
        <x:f>AJ6-AI6</x:f>
        <x:v>60.6</x:v>
      </x:c>
      <x:c r="AL6" s="24" t="n">
        <x:v>139.67</x:v>
      </x:c>
      <x:c r="AM6" s="24" t="n">
        <x:v>51.07</x:v>
      </x:c>
      <x:c r="AN6" s="24" t="n">
        <x:v>289.16</x:v>
      </x:c>
      <x:c r="AO6" s="24" t="n">
        <x:v>395</x:v>
      </x:c>
      <x:c r="AP6" s="24" t="n">
        <x:v>375.76</x:v>
      </x:c>
      <x:c r="AQ6" s="24" t="n">
        <x:v>606.94</x:v>
      </x:c>
      <x:c r="AR6" s="22" t="n">
        <x:f>IF(AP6&gt;0,AN6/AP6,"")</x:f>
        <x:v>0.7695337449435811</x:v>
      </x:c>
      <x:c r="AS6" s="22" t="n">
        <x:f>IF(AQ6&gt;0,AO6/AQ6,"")</x:f>
        <x:v>0.6508056809569315</x:v>
      </x:c>
      <x:c r="AT6" s="22" t="n">
        <x:f>AS6-AR6</x:f>
        <x:v>-0.11872806398664959</x:v>
      </x:c>
      <x:c r="AU6" s="28" t="n">
        <x:f>(LN(1+AO6)-LN(1+AN6))/5</x:f>
        <x:v>0.06219634325596672</x:v>
      </x:c>
    </x:row>
    <x:row r="7">
      <x:c r="A7" t="str">
        <x:v>Burundi</x:v>
      </x:c>
      <x:c r="B7" t="str">
        <x:v>Burundi</x:v>
      </x:c>
      <x:c r="C7" t="str">
        <x:v>Lagging</x:v>
      </x:c>
      <x:c r="D7" s="24" t="n">
        <x:v>56</x:v>
      </x:c>
      <x:c r="E7" s="24" t="n">
        <x:v>61</x:v>
      </x:c>
      <x:c r="F7" s="24" t="n">
        <x:v>178</x:v>
      </x:c>
      <x:c r="G7" s="24" t="n">
        <x:v>553</x:v>
      </x:c>
      <x:c r="H7" s="26" t="n">
        <x:v>73.3</x:v>
      </x:c>
      <x:c r="I7" s="26" t="n">
        <x:v>77.9</x:v>
      </x:c>
      <x:c r="J7" s="26" t="n">
        <x:v>91.4</x:v>
      </x:c>
      <x:c r="K7" s="26" t="n">
        <x:v>97.3</x:v>
      </x:c>
      <x:c r="L7" s="26" t="n">
        <x:v>5.5</x:v>
      </x:c>
      <x:c r="M7" s="22" t="n">
        <x:f>IF(D7&gt;0,(F7/D7)^(1/9)-1,"")</x:f>
        <x:v>0.13711281199519942</x:v>
      </x:c>
      <x:c r="N7" s="24" t="n">
        <x:f>F7-D7</x:f>
        <x:v>122</x:v>
      </x:c>
      <x:c r="O7" s="22" t="n">
        <x:f>N7/SUM($N$2:$N$55)</x:f>
        <x:v>0.0027253434602926394</x:v>
      </x:c>
      <x:c r="P7" t="n">
        <x:f>1+COUNTIF($F$2:$F$55,"&gt;"&amp;F7)</x:f>
        <x:v>32</x:v>
      </x:c>
      <x:c r="Q7" s="28" t="n">
        <x:f>LN(1+F7)</x:f>
        <x:v>5.187385805840755</x:v>
      </x:c>
      <x:c r="R7" s="28" t="n">
        <x:f>LN(1+G7)</x:f>
        <x:v>6.317164686747284</x:v>
      </x:c>
      <x:c r="S7" s="28" t="n">
        <x:f>O7</x:f>
        <x:v>0.0027253434602926394</x:v>
      </x:c>
      <x:c r="T7" s="28" t="n">
        <x:f>I7/100</x:f>
        <x:v>0.779</x:v>
      </x:c>
      <x:c r="U7" s="28" t="n">
        <x:f>K7/100</x:f>
        <x:v>0.973</x:v>
      </x:c>
      <x:c r="V7" s="28" t="n">
        <x:f>LN(1+L7)</x:f>
        <x:v>1.8718021769015913</x:v>
      </x:c>
      <x:c r="W7" s="28" t="n">
        <x:f>(LN(1+F7)-LN(1+D7))/9</x:f>
        <x:v>0.1271482820006894</x:v>
      </x:c>
      <x:c r="X7" s="28" t="n">
        <x:f>(LN(1+F7)-LN(1+E7))/4</x:f>
        <x:v>0.2650628551989158</x:v>
      </x:c>
      <x:c r="Y7" s="28" t="n">
        <x:f>I7-H7</x:f>
        <x:v>4.6000000000000085</x:v>
      </x:c>
      <x:c r="Z7" s="28" t="n">
        <x:f>K7-J7</x:f>
        <x:v>5.8999999999999915</x:v>
      </x:c>
      <x:c r="AA7" s="26" t="n">
        <x:v>9.51</x:v>
      </x:c>
      <x:c r="AB7" s="26" t="n">
        <x:v>9.84</x:v>
      </x:c>
      <x:c r="AC7" s="26" t="n">
        <x:v>9.1</x:v>
      </x:c>
      <x:c r="AD7" s="26" t="n">
        <x:v>10.23</x:v>
      </x:c>
      <x:c r="AE7" s="26" t="n">
        <x:v>10.28</x:v>
      </x:c>
      <x:c r="AF7" s="26" t="n">
        <x:v>11.59</x:v>
      </x:c>
      <x:c r="AG7" s="26" t="n">
        <x:f>AF7-AA7</x:f>
        <x:v>2.08</x:v>
      </x:c>
      <x:c r="AH7" s="26" t="n">
        <x:v>11.54</x:v>
      </x:c>
      <x:c r="AI7" s="26" t="n">
        <x:v>2.31</x:v>
      </x:c>
      <x:c r="AJ7" s="26" t="n">
        <x:v>65.05</x:v>
      </x:c>
      <x:c r="AK7" s="26" t="n">
        <x:f>AJ7-AI7</x:f>
        <x:v>62.739999999999995</x:v>
      </x:c>
      <x:c r="AL7" s="24" t="n">
        <x:v>25.17</x:v>
      </x:c>
      <x:c r="AM7" s="24" t="n">
        <x:v>23.13</x:v>
      </x:c>
      <x:c r="AN7" s="24" t="n">
        <x:v>50.5</x:v>
      </x:c>
      <x:c r="AO7" s="24" t="n">
        <x:v>50.5</x:v>
      </x:c>
      <x:c r="AP7" s="24" t="n">
        <x:v>104.66</x:v>
      </x:c>
      <x:c r="AQ7" s="24" t="n">
        <x:v>127.31</x:v>
      </x:c>
      <x:c r="AR7" s="22" t="n">
        <x:f>IF(AP7&gt;0,AN7/AP7,"")</x:f>
        <x:v>0.48251480986050066</x:v>
      </x:c>
      <x:c r="AS7" s="22" t="n">
        <x:f>IF(AQ7&gt;0,AO7/AQ7,"")</x:f>
        <x:v>0.39666954677558713</x:v>
      </x:c>
      <x:c r="AT7" s="22" t="n">
        <x:f>AS7-AR7</x:f>
        <x:v>-0.08584526308491353</x:v>
      </x:c>
      <x:c r="AU7" s="28" t="n">
        <x:f>(LN(1+AO7)-LN(1+AN7))/5</x:f>
        <x:v>0</x:v>
      </x:c>
    </x:row>
    <x:row r="8">
      <x:c r="A8" t="str">
        <x:v>Cabo Verde</x:v>
      </x:c>
      <x:c r="B8" t="str">
        <x:v>Cabo Verde</x:v>
      </x:c>
      <x:c r="C8" t="str">
        <x:v>Lagging</x:v>
      </x:c>
      <x:c r="D8" s="24" t="n">
        <x:v>33</x:v>
      </x:c>
      <x:c r="E8" s="24" t="n">
        <x:v>44</x:v>
      </x:c>
      <x:c r="F8" s="24" t="n">
        <x:v>73</x:v>
      </x:c>
      <x:c r="G8" s="24" t="n">
        <x:v>50</x:v>
      </x:c>
      <x:c r="H8" s="26" t="n">
        <x:v>18.8</x:v>
      </x:c>
      <x:c r="I8" s="26" t="n">
        <x:v>31.6</x:v>
      </x:c>
      <x:c r="J8" s="26" t="n">
        <x:v>18.7</x:v>
      </x:c>
      <x:c r="K8" s="26" t="n">
        <x:v>21.5</x:v>
      </x:c>
      <x:c r="L8" s="26" t="n">
        <x:v>110.2</x:v>
      </x:c>
      <x:c r="M8" s="22" t="n">
        <x:f>IF(D8&gt;0,(F8/D8)^(1/9)-1,"")</x:f>
        <x:v>0.09222497320291057</x:v>
      </x:c>
      <x:c r="N8" s="24" t="n">
        <x:f>F8-D8</x:f>
        <x:v>40</x:v>
      </x:c>
      <x:c r="O8" s="22" t="n">
        <x:f>N8/SUM($N$2:$N$55)</x:f>
        <x:v>0.0008935552328828326</x:v>
      </x:c>
      <x:c r="P8" t="n">
        <x:f>1+COUNTIF($F$2:$F$55,"&gt;"&amp;F8)</x:f>
        <x:v>43</x:v>
      </x:c>
      <x:c r="Q8" s="28" t="n">
        <x:f>LN(1+F8)</x:f>
        <x:v>4.30406509320417</x:v>
      </x:c>
      <x:c r="R8" s="28" t="n">
        <x:f>LN(1+G8)</x:f>
        <x:v>3.9318256327243257</x:v>
      </x:c>
      <x:c r="S8" s="28" t="n">
        <x:f>O8</x:f>
        <x:v>0.0008935552328828326</x:v>
      </x:c>
      <x:c r="T8" s="28" t="n">
        <x:f>I8/100</x:f>
        <x:v>0.316</x:v>
      </x:c>
      <x:c r="U8" s="28" t="n">
        <x:f>K8/100</x:f>
        <x:v>0.215</x:v>
      </x:c>
      <x:c r="V8" s="28" t="n">
        <x:f>LN(1+L8)</x:f>
        <x:v>4.711330381816482</x:v>
      </x:c>
      <x:c r="W8" s="28" t="n">
        <x:f>(LN(1+F8)-LN(1+D8))/9</x:f>
        <x:v>0.08641161873200096</x:v>
      </x:c>
      <x:c r="X8" s="28" t="n">
        <x:f>(LN(1+F8)-LN(1+E8))/4</x:f>
        <x:v>0.12435065085846264</x:v>
      </x:c>
      <x:c r="Y8" s="28" t="n">
        <x:f>I8-H8</x:f>
        <x:v>12.8</x:v>
      </x:c>
      <x:c r="Z8" s="28" t="n">
        <x:f>K8-J8</x:f>
        <x:v>2.8000000000000007</x:v>
      </x:c>
      <x:c r="AA8" s="26" t="n">
        <x:v>90.2</x:v>
      </x:c>
      <x:c r="AB8" s="26" t="n">
        <x:v>91.4</x:v>
      </x:c>
      <x:c r="AC8" s="26" t="n">
        <x:v>93.75</x:v>
      </x:c>
      <x:c r="AD8" s="26" t="n">
        <x:v>95.52</x:v>
      </x:c>
      <x:c r="AE8" s="26" t="n">
        <x:v>97.13</x:v>
      </x:c>
      <x:c r="AF8" s="26" t="n">
        <x:v>98.6</x:v>
      </x:c>
      <x:c r="AG8" s="26" t="n">
        <x:f>AF8-AA8</x:f>
        <x:v>8.399999999999991</x:v>
      </x:c>
      <x:c r="AH8" s="26" t="n">
        <x:v>0.01</x:v>
      </x:c>
      <x:c r="AI8" s="26" t="n">
        <x:v>100</x:v>
      </x:c>
      <x:c r="AJ8" s="26" t="n">
        <x:v>97.94</x:v>
      </x:c>
      <x:c r="AK8" s="26" t="n">
        <x:f>AJ8-AI8</x:f>
        <x:v>-2.0600000000000023</x:v>
      </x:c>
      <x:c r="AL8" s="24" t="n">
        <x:v>804.95</x:v>
      </x:c>
      <x:c r="AM8" s="24" t="n">
        <x:v>1174.3</x:v>
      </x:c>
      <x:c r="AN8" s="24" t="n">
        <x:v>140.94</x:v>
      </x:c>
      <x:c r="AO8" s="24" t="n">
        <x:v>157.69</x:v>
      </x:c>
      <x:c r="AP8" s="24" t="n">
        <x:v>178.55</x:v>
      </x:c>
      <x:c r="AQ8" s="24" t="n">
        <x:v>210.54</x:v>
      </x:c>
      <x:c r="AR8" s="22" t="n">
        <x:f>IF(AP8&gt;0,AN8/AP8,"")</x:f>
        <x:v>0.7893587230467656</x:v>
      </x:c>
      <x:c r="AS8" s="22" t="n">
        <x:f>IF(AQ8&gt;0,AO8/AQ8,"")</x:f>
        <x:v>0.7489788163769355</x:v>
      </x:c>
      <x:c r="AT8" s="22" t="n">
        <x:f>AS8-AR8</x:f>
        <x:v>-0.040379906669830046</x:v>
      </x:c>
      <x:c r="AU8" s="28" t="n">
        <x:f>(LN(1+AO8)-LN(1+AN8))/5</x:f>
        <x:v>0.022309636095582695</x:v>
      </x:c>
    </x:row>
    <x:row r="9">
      <x:c r="A9" t="str">
        <x:v>Cameroon</x:v>
      </x:c>
      <x:c r="B9" t="str">
        <x:v>Cameroon</x:v>
      </x:c>
      <x:c r="C9" t="str">
        <x:v>Balancing</x:v>
      </x:c>
      <x:c r="D9" s="24" t="n">
        <x:v>733</x:v>
      </x:c>
      <x:c r="E9" s="24" t="n">
        <x:v>865</x:v>
      </x:c>
      <x:c r="F9" s="24" t="n">
        <x:v>1500</x:v>
      </x:c>
      <x:c r="G9" s="24" t="n">
        <x:v>5350</x:v>
      </x:c>
      <x:c r="H9" s="26" t="n">
        <x:v>54</x:v>
      </x:c>
      <x:c r="I9" s="26" t="n">
        <x:v>68.1</x:v>
      </x:c>
      <x:c r="J9" s="26" t="n">
        <x:v>74.5</x:v>
      </x:c>
      <x:c r="K9" s="26" t="n">
        <x:v>77.1</x:v>
      </x:c>
      <x:c r="L9" s="26" t="n">
        <x:v>30.1</x:v>
      </x:c>
      <x:c r="M9" s="22" t="n">
        <x:f>IF(D9&gt;0,(F9/D9)^(1/9)-1,"")</x:f>
        <x:v>0.08281469927599017</x:v>
      </x:c>
      <x:c r="N9" s="24" t="n">
        <x:f>F9-D9</x:f>
        <x:v>767</x:v>
      </x:c>
      <x:c r="O9" s="22" t="n">
        <x:f>N9/SUM($N$2:$N$55)</x:f>
        <x:v>0.017133921590528314</x:v>
      </x:c>
      <x:c r="P9" t="n">
        <x:f>1+COUNTIF($F$2:$F$55,"&gt;"&amp;F9)</x:f>
        <x:v>15</x:v>
      </x:c>
      <x:c r="Q9" s="28" t="n">
        <x:f>LN(1+F9)</x:f>
        <x:v>7.313886831633462</x:v>
      </x:c>
      <x:c r="R9" s="28" t="n">
        <x:f>LN(1+G9)</x:f>
        <x:v>8.585038738311304</x:v>
      </x:c>
      <x:c r="S9" s="28" t="n">
        <x:f>O9</x:f>
        <x:v>0.017133921590528314</x:v>
      </x:c>
      <x:c r="T9" s="28" t="n">
        <x:f>I9/100</x:f>
        <x:v>0.6809999999999999</x:v>
      </x:c>
      <x:c r="U9" s="28" t="n">
        <x:f>K9/100</x:f>
        <x:v>0.7709999999999999</x:v>
      </x:c>
      <x:c r="V9" s="28" t="n">
        <x:f>LN(1+L9)</x:f>
        <x:v>3.4372078191851885</x:v>
      </x:c>
      <x:c r="W9" s="28" t="n">
        <x:f>(LN(1+F9)-LN(1+D9))/9</x:f>
        <x:v>0.07948642255766074</x:v>
      </x:c>
      <x:c r="X9" s="28" t="n">
        <x:f>(LN(1+F9)-LN(1+E9))/4</x:f>
        <x:v>0.13750048076775667</x:v>
      </x:c>
      <x:c r="Y9" s="28" t="n">
        <x:f>I9-H9</x:f>
        <x:v>14.099999999999994</x:v>
      </x:c>
      <x:c r="Z9" s="28" t="n">
        <x:f>K9-J9</x:f>
        <x:v>2.5999999999999943</x:v>
      </x:c>
      <x:c r="AA9" s="26" t="n">
        <x:v>62.2</x:v>
      </x:c>
      <x:c r="AB9" s="26" t="n">
        <x:v>63.18</x:v>
      </x:c>
      <x:c r="AC9" s="26" t="n">
        <x:v>64.31</x:v>
      </x:c>
      <x:c r="AD9" s="26" t="n">
        <x:v>65.45</x:v>
      </x:c>
      <x:c r="AE9" s="26" t="n">
        <x:v>71</x:v>
      </x:c>
      <x:c r="AF9" s="26" t="n">
        <x:v>72</x:v>
      </x:c>
      <x:c r="AG9" s="26" t="n">
        <x:f>AF9-AA9</x:f>
        <x:v>9.799999999999997</x:v>
      </x:c>
      <x:c r="AH9" s="26" t="n">
        <x:v>7.83</x:v>
      </x:c>
      <x:c r="AI9" s="26" t="n">
        <x:v>37.3</x:v>
      </x:c>
      <x:c r="AJ9" s="26" t="n">
        <x:v>95.8</x:v>
      </x:c>
      <x:c r="AK9" s="26" t="n">
        <x:f>AJ9-AI9</x:f>
        <x:v>58.5</x:v>
      </x:c>
      <x:c r="AL9" s="24" t="n">
        <x:v>362.28</x:v>
      </x:c>
      <x:c r="AM9" s="24" t="n">
        <x:v>302.26</x:v>
      </x:c>
      <x:c r="AN9" s="24" t="n">
        <x:v>701.22</x:v>
      </x:c>
      <x:c r="AO9" s="24" t="n">
        <x:v>702.58</x:v>
      </x:c>
      <x:c r="AP9" s="24" t="n">
        <x:v>1445.16</x:v>
      </x:c>
      <x:c r="AQ9" s="24" t="n">
        <x:v>1579.23</x:v>
      </x:c>
      <x:c r="AR9" s="22" t="n">
        <x:f>IF(AP9&gt;0,AN9/AP9,"")</x:f>
        <x:v>0.4852196296603836</x:v>
      </x:c>
      <x:c r="AS9" s="22" t="n">
        <x:f>IF(AQ9&gt;0,AO9/AQ9,"")</x:f>
        <x:v>0.44488769843531345</x:v>
      </x:c>
      <x:c r="AT9" s="22" t="n">
        <x:f>AS9-AR9</x:f>
        <x:v>-0.04033193122507017</x:v>
      </x:c>
      <x:c r="AU9" s="28" t="n">
        <x:f>(LN(1+AO9)-LN(1+AN9))/5</x:f>
        <x:v>0.00038696839501390913</x:v>
      </x:c>
    </x:row>
    <x:row r="10">
      <x:c r="A10" t="str">
        <x:v>Cent Afr Rep</x:v>
      </x:c>
      <x:c r="B10" t="str">
        <x:v>Central African Republic</x:v>
      </x:c>
      <x:c r="C10" t="str">
        <x:v>Lagging</x:v>
      </x:c>
      <x:c r="D10" s="24" t="n">
        <x:v>19</x:v>
      </x:c>
      <x:c r="E10" s="24" t="n">
        <x:v>19</x:v>
      </x:c>
      <x:c r="F10" s="24" t="n">
        <x:v>59</x:v>
      </x:c>
      <x:c r="G10" s="24" t="n">
        <x:v>199</x:v>
      </x:c>
      <x:c r="H10" s="26" t="n">
        <x:v>46.4</x:v>
      </x:c>
      <x:c r="I10" s="26" t="n">
        <x:v>45.2</x:v>
      </x:c>
      <x:c r="J10" s="26" t="n">
        <x:v>95.6</x:v>
      </x:c>
      <x:c r="K10" s="26" t="n">
        <x:v>97.5</x:v>
      </x:c>
      <x:c r="L10" s="26" t="n">
        <x:v>11.1</x:v>
      </x:c>
      <x:c r="M10" s="22" t="n">
        <x:f>IF(D10&gt;0,(F10/D10)^(1/9)-1,"")</x:f>
        <x:v>0.1341685522657987</x:v>
      </x:c>
      <x:c r="N10" s="24" t="n">
        <x:f>F10-D10</x:f>
        <x:v>40</x:v>
      </x:c>
      <x:c r="O10" s="22" t="n">
        <x:f>N10/SUM($N$2:$N$55)</x:f>
        <x:v>0.0008935552328828326</x:v>
      </x:c>
      <x:c r="P10" t="n">
        <x:f>1+COUNTIF($F$2:$F$55,"&gt;"&amp;F10)</x:f>
        <x:v>44</x:v>
      </x:c>
      <x:c r="Q10" s="28" t="n">
        <x:f>LN(1+F10)</x:f>
        <x:v>4.0943445622221</x:v>
      </x:c>
      <x:c r="R10" s="28" t="n">
        <x:f>LN(1+G10)</x:f>
        <x:v>5.298317366548036</x:v>
      </x:c>
      <x:c r="S10" s="28" t="n">
        <x:f>O10</x:f>
        <x:v>0.0008935552328828326</x:v>
      </x:c>
      <x:c r="T10" s="28" t="n">
        <x:f>I10/100</x:f>
        <x:v>0.452</x:v>
      </x:c>
      <x:c r="U10" s="28" t="n">
        <x:f>K10/100</x:f>
        <x:v>0.975</x:v>
      </x:c>
      <x:c r="V10" s="28" t="n">
        <x:f>LN(1+L10)</x:f>
        <x:v>2.4932054526026954</x:v>
      </x:c>
      <x:c r="W10" s="28" t="n">
        <x:f>(LN(1+F10)-LN(1+D10))/9</x:f>
        <x:v>0.12206803207423439</x:v>
      </x:c>
      <x:c r="X10" s="28" t="n">
        <x:f>(LN(1+F10)-LN(1+E10))/4</x:f>
        <x:v>0.2746530721670274</x:v>
      </x:c>
      <x:c r="Y10" s="28" t="n">
        <x:f>I10-H10</x:f>
        <x:v>-1.1999999999999957</x:v>
      </x:c>
      <x:c r="Z10" s="28" t="n">
        <x:f>K10-J10</x:f>
        <x:v>1.9000000000000057</x:v>
      </x:c>
      <x:c r="AA10" s="26" t="n">
        <x:v>14.64</x:v>
      </x:c>
      <x:c r="AB10" s="26" t="n">
        <x:v>14.3</x:v>
      </x:c>
      <x:c r="AC10" s="26" t="n">
        <x:v>15.41</x:v>
      </x:c>
      <x:c r="AD10" s="26" t="n">
        <x:v>15.68</x:v>
      </x:c>
      <x:c r="AE10" s="26" t="n">
        <x:v>15.7</x:v>
      </x:c>
      <x:c r="AF10" s="26" t="n">
        <x:v>17.57</x:v>
      </x:c>
      <x:c r="AG10" s="26" t="n">
        <x:f>AF10-AA10</x:f>
        <x:v>2.9299999999999997</x:v>
      </x:c>
      <x:c r="AH10" s="26" t="n">
        <x:v>4.33</x:v>
      </x:c>
      <x:c r="AI10" s="26" t="n">
        <x:v>2.25</x:v>
      </x:c>
      <x:c r="AJ10" s="26" t="n">
        <x:v>37.37</x:v>
      </x:c>
      <x:c r="AK10" s="26" t="n">
        <x:f>AJ10-AI10</x:f>
        <x:v>35.12</x:v>
      </x:c>
      <x:c r="AL10" s="24" t="n">
        <x:v>33.08</x:v>
      </x:c>
      <x:c r="AM10" s="24" t="n">
        <x:v>34.94</x:v>
      </x:c>
      <x:c r="AN10" s="24" t="n">
        <x:v>22</x:v>
      </x:c>
      <x:c r="AO10" s="24" t="n">
        <x:v>72</x:v>
      </x:c>
      <x:c r="AP10" s="24" t="n">
        <x:v>41.15</x:v>
      </x:c>
      <x:c r="AQ10" s="24" t="n">
        <x:v>131.27</x:v>
      </x:c>
      <x:c r="AR10" s="22" t="n">
        <x:f>IF(AP10&gt;0,AN10/AP10,"")</x:f>
        <x:v>0.534629404617254</x:v>
      </x:c>
      <x:c r="AS10" s="22" t="n">
        <x:f>IF(AQ10&gt;0,AO10/AQ10,"")</x:f>
        <x:v>0.5484878494705568</x:v>
      </x:c>
      <x:c r="AT10" s="22" t="n">
        <x:f>AS10-AR10</x:f>
        <x:v>0.013858444853302898</x:v>
      </x:c>
      <x:c r="AU10" s="28" t="n">
        <x:f>(LN(1+AO10)-LN(1+AN10))/5</x:f>
        <x:v>0.23099304504384827</x:v>
      </x:c>
    </x:row>
    <x:row r="11">
      <x:c r="A11" t="str">
        <x:v>Chad</x:v>
      </x:c>
      <x:c r="B11" t="str">
        <x:v>Chad</x:v>
      </x:c>
      <x:c r="C11" t="str">
        <x:v>Lagging</x:v>
      </x:c>
      <x:c r="D11" s="24" t="n">
        <x:v>3</x:v>
      </x:c>
      <x:c r="E11" s="24" t="n">
        <x:v>5</x:v>
      </x:c>
      <x:c r="F11" s="24" t="n">
        <x:v>114</x:v>
      </x:c>
      <x:c r="G11" s="24" t="n">
        <x:v>17</x:v>
      </x:c>
      <x:c r="H11" s="26" t="n">
        <x:v>1.1</x:v>
      </x:c>
      <x:c r="I11" s="26" t="n">
        <x:v>28.8</x:v>
      </x:c>
      <x:c r="J11" s="26" t="n">
        <x:v>4.4</x:v>
      </x:c>
      <x:c r="K11" s="26" t="n">
        <x:v>5.1</x:v>
      </x:c>
      <x:c r="L11" s="26" t="n">
        <x:v>0.2</x:v>
      </x:c>
      <x:c r="M11" s="22" t="n">
        <x:f>IF(D11&gt;0,(F11/D11)^(1/9)-1,"")</x:f>
        <x:v>0.4980679431428716</x:v>
      </x:c>
      <x:c r="N11" s="24" t="n">
        <x:f>F11-D11</x:f>
        <x:v>111</x:v>
      </x:c>
      <x:c r="O11" s="22" t="n">
        <x:f>N11/SUM($N$2:$N$55)</x:f>
        <x:v>0.0024796157712498605</x:v>
      </x:c>
      <x:c r="P11" t="n">
        <x:f>1+COUNTIF($F$2:$F$55,"&gt;"&amp;F11)</x:f>
        <x:v>37</x:v>
      </x:c>
      <x:c r="Q11" s="28" t="n">
        <x:f>LN(1+F11)</x:f>
        <x:v>4.74493212836325</x:v>
      </x:c>
      <x:c r="R11" s="28" t="n">
        <x:f>LN(1+G11)</x:f>
        <x:v>2.8903717578961645</x:v>
      </x:c>
      <x:c r="S11" s="28" t="n">
        <x:f>O11</x:f>
        <x:v>0.0024796157712498605</x:v>
      </x:c>
      <x:c r="T11" s="28" t="n">
        <x:f>I11/100</x:f>
        <x:v>0.28800000000000003</x:v>
      </x:c>
      <x:c r="U11" s="28" t="n">
        <x:f>K11/100</x:f>
        <x:v>0.051</x:v>
      </x:c>
      <x:c r="V11" s="28" t="n">
        <x:f>LN(1+L11)</x:f>
        <x:v>0.1823215567939546</x:v>
      </x:c>
      <x:c r="W11" s="28" t="n">
        <x:f>(LN(1+F11)-LN(1+D11))/9</x:f>
        <x:v>0.373181974138151</x:v>
      </x:c>
      <x:c r="X11" s="28" t="n">
        <x:f>(LN(1+F11)-LN(1+E11))/4</x:f>
        <x:v>0.7382931647837988</x:v>
      </x:c>
      <x:c r="Y11" s="28" t="n">
        <x:f>I11-H11</x:f>
        <x:v>27.7</x:v>
      </x:c>
      <x:c r="Z11" s="28" t="n">
        <x:f>K11-J11</x:f>
        <x:v>0.6999999999999993</x:v>
      </x:c>
      <x:c r="AA11" s="26" t="n">
        <x:v>10.06</x:v>
      </x:c>
      <x:c r="AB11" s="26" t="n">
        <x:v>8.4</x:v>
      </x:c>
      <x:c r="AC11" s="26" t="n">
        <x:v>10.87</x:v>
      </x:c>
      <x:c r="AD11" s="26" t="n">
        <x:v>11.27</x:v>
      </x:c>
      <x:c r="AE11" s="26" t="n">
        <x:v>11.71</x:v>
      </x:c>
      <x:c r="AF11" s="26" t="n">
        <x:v>12.02</x:v>
      </x:c>
      <x:c r="AG11" s="26" t="n">
        <x:f>AF11-AA11</x:f>
        <x:v>1.959999999999999</x:v>
      </x:c>
      <x:c r="AH11" s="26" t="n">
        <x:v>15.62</x:v>
      </x:c>
      <x:c r="AI11" s="26" t="n">
        <x:v>0.4</x:v>
      </x:c>
      <x:c r="AJ11" s="26" t="n">
        <x:v>48.11</x:v>
      </x:c>
      <x:c r="AK11" s="26" t="n">
        <x:f>AJ11-AI11</x:f>
        <x:v>47.71</x:v>
      </x:c>
      <x:c r="AL11" s="24" t="n">
        <x:v>15.65</x:v>
      </x:c>
      <x:c r="AM11" s="24" t="n">
        <x:v>22.63</x:v>
      </x:c>
      <x:c r="AN11" s="24" t="n">
        <x:v>282</x:v>
      </x:c>
      <x:c r="AO11" s="24" t="n">
        <x:v>282</x:v>
      </x:c>
      <x:c r="AP11" s="24" t="n">
        <x:v>285.66</x:v>
      </x:c>
      <x:c r="AQ11" s="24" t="n">
        <x:v>286.76</x:v>
      </x:c>
      <x:c r="AR11" s="22" t="n">
        <x:f>IF(AP11&gt;0,AN11/AP11,"")</x:f>
        <x:v>0.987187565637471</x:v>
      </x:c>
      <x:c r="AS11" s="22" t="n">
        <x:f>IF(AQ11&gt;0,AO11/AQ11,"")</x:f>
        <x:v>0.9834007532431301</x:v>
      </x:c>
      <x:c r="AT11" s="22" t="n">
        <x:f>AS11-AR11</x:f>
        <x:v>-0.003786812394340866</x:v>
      </x:c>
      <x:c r="AU11" s="28" t="n">
        <x:f>(LN(1+AO11)-LN(1+AN11))/5</x:f>
        <x:v>0</x:v>
      </x:c>
    </x:row>
    <x:row r="12">
      <x:c r="A12" t="str">
        <x:v>Comoros</x:v>
      </x:c>
      <x:c r="B12" t="str">
        <x:v>Comoros</x:v>
      </x:c>
      <x:c r="C12" t="str">
        <x:v>Lagging</x:v>
      </x:c>
      <x:c r="D12" s="24" t="n">
        <x:v>2</x:v>
      </x:c>
      <x:c r="E12" s="24" t="n">
        <x:v>5</x:v>
      </x:c>
      <x:c r="F12" s="24" t="n">
        <x:v>11</x:v>
      </x:c>
      <x:c r="G12" s="24" t="n">
        <x:v>4</x:v>
      </x:c>
      <x:c r="H12" s="26" t="n">
        <x:v>9.4</x:v>
      </x:c>
      <x:c r="I12" s="26" t="n">
        <x:v>33.4</x:v>
      </x:c>
      <x:c r="J12" s="26" t="n">
        <x:v>2.2</x:v>
      </x:c>
      <x:c r="K12" s="26" t="n">
        <x:v>8.1</x:v>
      </x:c>
      <x:c r="L12" s="26" t="n">
        <x:v>5.2</x:v>
      </x:c>
      <x:c r="M12" s="22" t="n">
        <x:f>IF(D12&gt;0,(F12/D12)^(1/9)-1,"")</x:f>
        <x:v>0.2085441515796309</x:v>
      </x:c>
      <x:c r="N12" s="24" t="n">
        <x:f>F12-D12</x:f>
        <x:v>9</x:v>
      </x:c>
      <x:c r="O12" s="22" t="n">
        <x:f>N12/SUM($N$2:$N$55)</x:f>
        <x:v>0.00020104992739863732</x:v>
      </x:c>
      <x:c r="P12" t="n">
        <x:f>1+COUNTIF($F$2:$F$55,"&gt;"&amp;F12)</x:f>
        <x:v>51</x:v>
      </x:c>
      <x:c r="Q12" s="28" t="n">
        <x:f>LN(1+F12)</x:f>
        <x:v>2.4849066497880004</x:v>
      </x:c>
      <x:c r="R12" s="28" t="n">
        <x:f>LN(1+G12)</x:f>
        <x:v>1.6094379124341003</x:v>
      </x:c>
      <x:c r="S12" s="28" t="n">
        <x:f>O12</x:f>
        <x:v>0.00020104992739863732</x:v>
      </x:c>
      <x:c r="T12" s="28" t="n">
        <x:f>I12/100</x:f>
        <x:v>0.33399999999999996</x:v>
      </x:c>
      <x:c r="U12" s="28" t="n">
        <x:f>K12/100</x:f>
        <x:v>0.081</x:v>
      </x:c>
      <x:c r="V12" s="28" t="n">
        <x:f>LN(1+L12)</x:f>
        <x:v>1.824549292051046</x:v>
      </x:c>
      <x:c r="W12" s="28" t="n">
        <x:f>(LN(1+F12)-LN(1+D12))/9</x:f>
        <x:v>0.15403270679109896</x:v>
      </x:c>
      <x:c r="X12" s="28" t="n">
        <x:f>(LN(1+F12)-LN(1+E12))/4</x:f>
        <x:v>0.17328679513998635</x:v>
      </x:c>
      <x:c r="Y12" s="28" t="n">
        <x:f>I12-H12</x:f>
        <x:v>24</x:v>
      </x:c>
      <x:c r="Z12" s="28" t="n">
        <x:f>K12-J12</x:f>
        <x:v>5.8999999999999995</x:v>
      </x:c>
      <x:c r="AA12" s="26" t="n">
        <x:v>81.02</x:v>
      </x:c>
      <x:c r="AB12" s="26" t="n">
        <x:v>83.33</x:v>
      </x:c>
      <x:c r="AC12" s="26" t="n">
        <x:v>85.64</x:v>
      </x:c>
      <x:c r="AD12" s="26" t="n">
        <x:v>87.94</x:v>
      </x:c>
      <x:c r="AE12" s="26" t="n">
        <x:v>89.91</x:v>
      </x:c>
      <x:c r="AF12" s="26" t="n">
        <x:v>89.76</x:v>
      </x:c>
      <x:c r="AG12" s="26" t="n">
        <x:f>AF12-AA12</x:f>
        <x:v>8.740000000000009</x:v>
      </x:c>
      <x:c r="AH12" s="26" t="n">
        <x:v>0.09</x:v>
      </x:c>
      <x:c r="AI12" s="26" t="n">
        <x:v>86.07</x:v>
      </x:c>
      <x:c r="AJ12" s="26" t="n">
        <x:v>98.32</x:v>
      </x:c>
      <x:c r="AK12" s="26" t="n">
        <x:f>AJ12-AI12</x:f>
        <x:v>12.25</x:v>
      </x:c>
      <x:c r="AL12" s="24" t="n">
        <x:v>107.5</x:v>
      </x:c>
      <x:c r="AM12" s="24" t="n">
        <x:v>118.38</x:v>
      </x:c>
      <x:c r="AN12" s="24" t="n">
        <x:v>21.6</x:v>
      </x:c>
      <x:c r="AO12" s="24" t="n">
        <x:v>21.6</x:v>
      </x:c>
      <x:c r="AP12" s="24" t="n">
        <x:v>24.19</x:v>
      </x:c>
      <x:c r="AQ12" s="24" t="n">
        <x:v>26.12</x:v>
      </x:c>
      <x:c r="AR12" s="22" t="n">
        <x:f>IF(AP12&gt;0,AN12/AP12,"")</x:f>
        <x:v>0.8929309632079372</x:v>
      </x:c>
      <x:c r="AS12" s="22" t="n">
        <x:f>IF(AQ12&gt;0,AO12/AQ12,"")</x:f>
        <x:v>0.8269525267993875</x:v>
      </x:c>
      <x:c r="AT12" s="22" t="n">
        <x:f>AS12-AR12</x:f>
        <x:v>-0.06597843640854972</x:v>
      </x:c>
      <x:c r="AU12" s="28" t="n">
        <x:f>(LN(1+AO12)-LN(1+AN12))/5</x:f>
        <x:v>0</x:v>
      </x:c>
    </x:row>
    <x:row r="13">
      <x:c r="A13" t="str">
        <x:v>Congo DR</x:v>
      </x:c>
      <x:c r="B13" t="str">
        <x:v>Democratic Republic of the Congo</x:v>
      </x:c>
      <x:c r="C13" t="str">
        <x:v>Lagging</x:v>
      </x:c>
      <x:c r="D13" s="24" t="n">
        <x:v>2434</x:v>
      </x:c>
      <x:c r="E13" s="24" t="n">
        <x:v>2628</x:v>
      </x:c>
      <x:c r="F13" s="24" t="n">
        <x:v>3289</x:v>
      </x:c>
      <x:c r="G13" s="24" t="n">
        <x:v>13794</x:v>
      </x:c>
      <x:c r="H13" s="26" t="n">
        <x:v>98.8</x:v>
      </x:c>
      <x:c r="I13" s="26" t="n">
        <x:v>88.6</x:v>
      </x:c>
      <x:c r="J13" s="26" t="n">
        <x:v>99.3</x:v>
      </x:c>
      <x:c r="K13" s="26" t="n">
        <x:v>98.9</x:v>
      </x:c>
      <x:c r="L13" s="26" t="n">
        <x:v>30</x:v>
      </x:c>
      <x:c r="M13" s="22" t="n">
        <x:f>IF(D13&gt;0,(F13/D13)^(1/9)-1,"")</x:f>
        <x:v>0.0340154627659357</x:v>
      </x:c>
      <x:c r="N13" s="24" t="n">
        <x:f>F13-D13</x:f>
        <x:v>855</x:v>
      </x:c>
      <x:c r="O13" s="22" t="n">
        <x:f>N13/SUM($N$2:$N$55)</x:f>
        <x:v>0.019099743102870548</x:v>
      </x:c>
      <x:c r="P13" t="n">
        <x:f>1+COUNTIF($F$2:$F$55,"&gt;"&amp;F13)</x:f>
        <x:v>7</x:v>
      </x:c>
      <x:c r="Q13" s="28" t="n">
        <x:f>LN(1+F13)</x:f>
        <x:v>8.098642843759418</x:v>
      </x:c>
      <x:c r="R13" s="28" t="n">
        <x:f>LN(1+G13)</x:f>
        <x:v>9.532061486651386</x:v>
      </x:c>
      <x:c r="S13" s="28" t="n">
        <x:f>O13</x:f>
        <x:v>0.019099743102870548</x:v>
      </x:c>
      <x:c r="T13" s="28" t="n">
        <x:f>I13/100</x:f>
        <x:v>0.8859999999999999</x:v>
      </x:c>
      <x:c r="U13" s="28" t="n">
        <x:f>K13/100</x:f>
        <x:v>0.9890000000000001</x:v>
      </x:c>
      <x:c r="V13" s="28" t="n">
        <x:f>LN(1+L13)</x:f>
        <x:v>3.4339872044851463</x:v>
      </x:c>
      <x:c r="W13" s="28" t="n">
        <x:f>(LN(1+F13)-LN(1+D13))/9</x:f>
        <x:v>0.03343786758252529</x:v>
      </x:c>
      <x:c r="X13" s="28" t="n">
        <x:f>(LN(1+F13)-LN(1+E13))/4</x:f>
        <x:v>0.056071004757384246</x:v>
      </x:c>
      <x:c r="Y13" s="28" t="n">
        <x:f>I13-H13</x:f>
        <x:v>-10.200000000000003</x:v>
      </x:c>
      <x:c r="Z13" s="28" t="n">
        <x:f>K13-J13</x:f>
        <x:v>-0.3999999999999915</x:v>
      </x:c>
      <x:c r="AA13" s="26" t="n">
        <x:v>18.68</x:v>
      </x:c>
      <x:c r="AB13" s="26" t="n">
        <x:v>19.1</x:v>
      </x:c>
      <x:c r="AC13" s="26" t="n">
        <x:v>20.07</x:v>
      </x:c>
      <x:c r="AD13" s="26" t="n">
        <x:v>20.77</x:v>
      </x:c>
      <x:c r="AE13" s="26" t="n">
        <x:v>21.49</x:v>
      </x:c>
      <x:c r="AF13" s="26" t="n">
        <x:v>22.13</x:v>
      </x:c>
      <x:c r="AG13" s="26" t="n">
        <x:f>AF13-AA13</x:f>
        <x:v>3.4499999999999993</x:v>
      </x:c>
      <x:c r="AH13" s="26" t="n">
        <x:v>76.44</x:v>
      </x:c>
      <x:c r="AI13" s="26" t="n">
        <x:v>1.12</x:v>
      </x:c>
      <x:c r="AJ13" s="26" t="n">
        <x:v>45.4</x:v>
      </x:c>
      <x:c r="AK13" s="26" t="n">
        <x:f>AJ13-AI13</x:f>
        <x:v>44.28</x:v>
      </x:c>
      <x:c r="AL13" s="24" t="n">
        <x:v>121.41</x:v>
      </x:c>
      <x:c r="AM13" s="24" t="n">
        <x:v>153.17</x:v>
      </x:c>
      <x:c r="AN13" s="24" t="n">
        <x:v>31.84</x:v>
      </x:c>
      <x:c r="AO13" s="24" t="n">
        <x:v>77.51</x:v>
      </x:c>
      <x:c r="AP13" s="24" t="n">
        <x:v>2640.93</x:v>
      </x:c>
      <x:c r="AQ13" s="24" t="n">
        <x:v>3293.86</x:v>
      </x:c>
      <x:c r="AR13" s="22" t="n">
        <x:f>IF(AP13&gt;0,AN13/AP13,"")</x:f>
        <x:v>0.012056358934163345</x:v>
      </x:c>
      <x:c r="AS13" s="22" t="n">
        <x:f>IF(AQ13&gt;0,AO13/AQ13,"")</x:f>
        <x:v>0.02353166194070179</x:v>
      </x:c>
      <x:c r="AT13" s="22" t="n">
        <x:f>AS13-AR13</x:f>
        <x:v>0.011475303006538444</x:v>
      </x:c>
      <x:c r="AU13" s="28" t="n">
        <x:f>(LN(1+AO13)-LN(1+AN13))/5</x:f>
        <x:v>0.17431574412518724</x:v>
      </x:c>
    </x:row>
    <x:row r="14">
      <x:c r="A14" t="str">
        <x:v>Congo Rep</x:v>
      </x:c>
      <x:c r="B14" t="str">
        <x:v>Republic of the Congo</x:v>
      </x:c>
      <x:c r="C14" t="str">
        <x:v>Lagging</x:v>
      </x:c>
      <x:c r="D14" s="24" t="n">
        <x:v>213</x:v>
      </x:c>
      <x:c r="E14" s="24" t="n">
        <x:v>227</x:v>
      </x:c>
      <x:c r="F14" s="24" t="n">
        <x:v>227</x:v>
      </x:c>
      <x:c r="G14" s="24" t="n">
        <x:v>1079</x:v>
      </x:c>
      <x:c r="H14" s="26" t="n">
        <x:v>33.4</x:v>
      </x:c>
      <x:c r="I14" s="26" t="n">
        <x:v>22.2</x:v>
      </x:c>
      <x:c r="J14" s="26" t="n">
        <x:v>41.4</x:v>
      </x:c>
      <x:c r="K14" s="26" t="n">
        <x:v>40.7</x:v>
      </x:c>
      <x:c r="L14" s="26" t="n">
        <x:v>35.8</x:v>
      </x:c>
      <x:c r="M14" s="22" t="n">
        <x:f>IF(D14&gt;0,(F14/D14)^(1/9)-1,"")</x:f>
        <x:v>0.007098168055917675</x:v>
      </x:c>
      <x:c r="N14" s="24" t="n">
        <x:f>F14-D14</x:f>
        <x:v>14</x:v>
      </x:c>
      <x:c r="O14" s="22" t="n">
        <x:f>N14/SUM($N$2:$N$55)</x:f>
        <x:v>0.0003127443315089914</x:v>
      </x:c>
      <x:c r="P14" t="n">
        <x:f>1+COUNTIF($F$2:$F$55,"&gt;"&amp;F14)</x:f>
        <x:v>30</x:v>
      </x:c>
      <x:c r="Q14" s="28" t="n">
        <x:f>LN(1+F14)</x:f>
        <x:v>5.429345628954441</x:v>
      </x:c>
      <x:c r="R14" s="28" t="n">
        <x:f>LN(1+G14)</x:f>
        <x:v>6.984716320118266</x:v>
      </x:c>
      <x:c r="S14" s="28" t="n">
        <x:f>O14</x:f>
        <x:v>0.0003127443315089914</x:v>
      </x:c>
      <x:c r="T14" s="28" t="n">
        <x:f>I14/100</x:f>
        <x:v>0.222</x:v>
      </x:c>
      <x:c r="U14" s="28" t="n">
        <x:f>K14/100</x:f>
        <x:v>0.40700000000000003</x:v>
      </x:c>
      <x:c r="V14" s="28" t="n">
        <x:f>LN(1+L14)</x:f>
        <x:v>3.6054978451748854</x:v>
      </x:c>
      <x:c r="W14" s="28" t="n">
        <x:f>(LN(1+F14)-LN(1+D14))/9</x:f>
        <x:v>0.00704106821473221</x:v>
      </x:c>
      <x:c r="X14" s="28" t="n">
        <x:f>(LN(1+F14)-LN(1+E14))/4</x:f>
        <x:v>0</x:v>
      </x:c>
      <x:c r="Y14" s="28" t="n">
        <x:f>I14-H14</x:f>
        <x:v>-11.2</x:v>
      </x:c>
      <x:c r="Z14" s="28" t="n">
        <x:f>K14-J14</x:f>
        <x:v>-0.6999999999999957</x:v>
      </x:c>
      <x:c r="AA14" s="26" t="n">
        <x:v>47.04</x:v>
      </x:c>
      <x:c r="AB14" s="26" t="n">
        <x:v>47.73</x:v>
      </x:c>
      <x:c r="AC14" s="26" t="n">
        <x:v>48.68</x:v>
      </x:c>
      <x:c r="AD14" s="26" t="n">
        <x:v>49.66</x:v>
      </x:c>
      <x:c r="AE14" s="26" t="n">
        <x:v>50.56</x:v>
      </x:c>
      <x:c r="AF14" s="26" t="n">
        <x:v>51.35</x:v>
      </x:c>
      <x:c r="AG14" s="26" t="n">
        <x:f>AF14-AA14</x:f>
        <x:v>4.310000000000002</x:v>
      </x:c>
      <x:c r="AH14" s="26" t="n">
        <x:v>2.99</x:v>
      </x:c>
      <x:c r="AI14" s="26" t="n">
        <x:v>10.81</x:v>
      </x:c>
      <x:c r="AJ14" s="26" t="n">
        <x:v>69.4</x:v>
      </x:c>
      <x:c r="AK14" s="26" t="n">
        <x:f>AJ14-AI14</x:f>
        <x:v>58.59</x:v>
      </x:c>
      <x:c r="AL14" s="24" t="n">
        <x:v>237.88</x:v>
      </x:c>
      <x:c r="AM14" s="24" t="n">
        <x:v>476.59</x:v>
      </x:c>
      <x:c r="AN14" s="24" t="n">
        <x:v>426.66</x:v>
      </x:c>
      <x:c r="AO14" s="24" t="n">
        <x:v>596.66</x:v>
      </x:c>
      <x:c r="AP14" s="24" t="n">
        <x:v>652.82</x:v>
      </x:c>
      <x:c r="AQ14" s="24" t="n">
        <x:v>823.5</x:v>
      </x:c>
      <x:c r="AR14" s="22" t="n">
        <x:f>IF(AP14&gt;0,AN14/AP14,"")</x:f>
        <x:v>0.6535645354002635</x:v>
      </x:c>
      <x:c r="AS14" s="22" t="n">
        <x:f>IF(AQ14&gt;0,AO14/AQ14,"")</x:f>
        <x:v>0.7245415907710989</x:v>
      </x:c>
      <x:c r="AT14" s="22" t="n">
        <x:f>AS14-AR14</x:f>
        <x:v>0.07097705537083543</x:v>
      </x:c>
      <x:c r="AU14" s="28" t="n">
        <x:f>(LN(1+AO14)-LN(1+AN14))/5</x:f>
        <x:v>0.06693870860472799</x:v>
      </x:c>
    </x:row>
    <x:row r="15">
      <x:c r="A15" t="str">
        <x:v>Cote d Ivoire</x:v>
      </x:c>
      <x:c r="B15" t="str">
        <x:v>Côte d'Ivoire</x:v>
      </x:c>
      <x:c r="C15" t="str">
        <x:v>Balancing</x:v>
      </x:c>
      <x:c r="D15" s="24" t="n">
        <x:v>604</x:v>
      </x:c>
      <x:c r="E15" s="24" t="n">
        <x:v>887</x:v>
      </x:c>
      <x:c r="F15" s="24" t="n">
        <x:v>1029</x:v>
      </x:c>
      <x:c r="G15" s="24" t="n">
        <x:v>3474</x:v>
      </x:c>
      <x:c r="H15" s="26" t="n">
        <x:v>31.3</x:v>
      </x:c>
      <x:c r="I15" s="26" t="n">
        <x:v>33.9</x:v>
      </x:c>
      <x:c r="J15" s="26" t="n">
        <x:v>15.2</x:v>
      </x:c>
      <x:c r="K15" s="26" t="n">
        <x:v>24.9</x:v>
      </x:c>
      <x:c r="L15" s="26" t="n">
        <x:v>28.8</x:v>
      </x:c>
      <x:c r="M15" s="22" t="n">
        <x:f>IF(D15&gt;0,(F15/D15)^(1/9)-1,"")</x:f>
        <x:v>0.06098370802359532</x:v>
      </x:c>
      <x:c r="N15" s="24" t="n">
        <x:f>F15-D15</x:f>
        <x:v>425</x:v>
      </x:c>
      <x:c r="O15" s="22" t="n">
        <x:f>N15/SUM($N$2:$N$55)</x:f>
        <x:v>0.009494024349380096</x:v>
      </x:c>
      <x:c r="P15" t="n">
        <x:f>1+COUNTIF($F$2:$F$55,"&gt;"&amp;F15)</x:f>
        <x:v>18</x:v>
      </x:c>
      <x:c r="Q15" s="28" t="n">
        <x:f>LN(1+F15)</x:f>
        <x:v>6.937314081223682</x:v>
      </x:c>
      <x:c r="R15" s="28" t="n">
        <x:f>LN(1+G15)</x:f>
        <x:v>8.153349757998892</x:v>
      </x:c>
      <x:c r="S15" s="28" t="n">
        <x:f>O15</x:f>
        <x:v>0.009494024349380096</x:v>
      </x:c>
      <x:c r="T15" s="28" t="n">
        <x:f>I15/100</x:f>
        <x:v>0.33899999999999997</x:v>
      </x:c>
      <x:c r="U15" s="28" t="n">
        <x:f>K15/100</x:f>
        <x:v>0.249</x:v>
      </x:c>
      <x:c r="V15" s="28" t="n">
        <x:f>LN(1+L15)</x:f>
        <x:v>3.3945083935113587</x:v>
      </x:c>
      <x:c r="W15" s="28" t="n">
        <x:f>(LN(1+F15)-LN(1+D15))/9</x:f>
        <x:v>0.059120624799204435</x:v>
      </x:c>
      <x:c r="X15" s="28" t="n">
        <x:f>(LN(1+F15)-LN(1+E15))/4</x:f>
        <x:v>0.037085584557877915</x:v>
      </x:c>
      <x:c r="Y15" s="28" t="n">
        <x:f>I15-H15</x:f>
        <x:v>2.599999999999998</x:v>
      </x:c>
      <x:c r="Z15" s="28" t="n">
        <x:f>K15-J15</x:f>
        <x:v>9.7</x:v>
      </x:c>
      <x:c r="AA15" s="26" t="n">
        <x:v>67.15</x:v>
      </x:c>
      <x:c r="AB15" s="26" t="n">
        <x:v>68.57</x:v>
      </x:c>
      <x:c r="AC15" s="26" t="n">
        <x:v>69.88</x:v>
      </x:c>
      <x:c r="AD15" s="26" t="n">
        <x:v>71.14</x:v>
      </x:c>
      <x:c r="AE15" s="26" t="n">
        <x:v>70.43</x:v>
      </x:c>
      <x:c r="AF15" s="26" t="n">
        <x:v>72.37</x:v>
      </x:c>
      <x:c r="AG15" s="26" t="n">
        <x:f>AF15-AA15</x:f>
        <x:v>5.219999999999999</x:v>
      </x:c>
      <x:c r="AH15" s="26" t="n">
        <x:v>7.79</x:v>
      </x:c>
      <x:c r="AI15" s="26" t="n">
        <x:v>47.99</x:v>
      </x:c>
      <x:c r="AJ15" s="26" t="n">
        <x:v>93.87</x:v>
      </x:c>
      <x:c r="AK15" s="26" t="n">
        <x:f>AJ15-AI15</x:f>
        <x:v>45.88</x:v>
      </x:c>
      <x:c r="AL15" s="24" t="n">
        <x:v>380.96</x:v>
      </x:c>
      <x:c r="AM15" s="24" t="n">
        <x:v>479.53</x:v>
      </x:c>
      <x:c r="AN15" s="24" t="n">
        <x:v>1325.14</x:v>
      </x:c>
      <x:c r="AO15" s="24" t="n">
        <x:v>2003.14</x:v>
      </x:c>
      <x:c r="AP15" s="24" t="n">
        <x:v>2206.24</x:v>
      </x:c>
      <x:c r="AQ15" s="24" t="n">
        <x:v>2922.22</x:v>
      </x:c>
      <x:c r="AR15" s="22" t="n">
        <x:f>IF(AP15&gt;0,AN15/AP15,"")</x:f>
        <x:v>0.6006327507433462</x:v>
      </x:c>
      <x:c r="AS15" s="22" t="n">
        <x:f>IF(AQ15&gt;0,AO15/AQ15,"")</x:f>
        <x:v>0.685485692384557</x:v>
      </x:c>
      <x:c r="AT15" s="22" t="n">
        <x:f>AS15-AR15</x:f>
        <x:v>0.08485294164121082</x:v>
      </x:c>
      <x:c r="AU15" s="28" t="n">
        <x:f>(LN(1+AO15)-LN(1+AN15))/5</x:f>
        <x:v>0.08258851483554128</x:v>
      </x:c>
    </x:row>
    <x:row r="16">
      <x:c r="A16" t="str">
        <x:v>Djibouti</x:v>
      </x:c>
      <x:c r="B16" t="str">
        <x:v>Djibouti</x:v>
      </x:c>
      <x:c r="C16" t="str">
        <x:v>Lagging</x:v>
      </x:c>
      <x:c r="D16" s="24" t="n">
        <x:v>0</x:v>
      </x:c>
      <x:c r="E16" s="24" t="n">
        <x:v>20</x:v>
      </x:c>
      <x:c r="F16" s="24" t="n">
        <x:v>81</x:v>
      </x:c>
      <x:c r="G16" s="24" t="n">
        <x:v>236</x:v>
      </x:c>
      <x:c r="H16" s="26" t="n">
        <x:v>0.3</x:v>
      </x:c>
      <x:c r="I16" s="26" t="n">
        <x:v>39.6</x:v>
      </x:c>
      <x:c r="J16" s="26" t="n">
        <x:v>0.8</x:v>
      </x:c>
      <x:c r="K16" s="26" t="n">
        <x:v>63.8</x:v>
      </x:c>
      <x:c r="L16" s="26" t="n">
        <x:v>68.8</x:v>
      </x:c>
      <x:c r="M16" s="22" t="str">
        <x:f>IF(D16&gt;0,(F16/D16)^(1/9)-1,"")</x:f>
      </x:c>
      <x:c r="N16" s="24" t="n">
        <x:f>F16-D16</x:f>
        <x:v>81</x:v>
      </x:c>
      <x:c r="O16" s="22" t="n">
        <x:f>N16/SUM($N$2:$N$55)</x:f>
        <x:v>0.001809449346587736</x:v>
      </x:c>
      <x:c r="P16" t="n">
        <x:f>1+COUNTIF($F$2:$F$55,"&gt;"&amp;F16)</x:f>
        <x:v>42</x:v>
      </x:c>
      <x:c r="Q16" s="28" t="n">
        <x:f>LN(1+F16)</x:f>
        <x:v>4.406719247264253</x:v>
      </x:c>
      <x:c r="R16" s="28" t="n">
        <x:f>LN(1+G16)</x:f>
        <x:v>5.4680601411351315</x:v>
      </x:c>
      <x:c r="S16" s="28" t="n">
        <x:f>O16</x:f>
        <x:v>0.001809449346587736</x:v>
      </x:c>
      <x:c r="T16" s="28" t="n">
        <x:f>I16/100</x:f>
        <x:v>0.396</x:v>
      </x:c>
      <x:c r="U16" s="28" t="n">
        <x:f>K16/100</x:f>
        <x:v>0.638</x:v>
      </x:c>
      <x:c r="V16" s="28" t="n">
        <x:f>LN(1+L16)</x:f>
        <x:v>4.2456340097683265</x:v>
      </x:c>
      <x:c r="W16" s="28" t="n">
        <x:f>(LN(1+F16)-LN(1+D16))/9</x:f>
        <x:v>0.48963547191825035</x:v>
      </x:c>
      <x:c r="X16" s="28" t="n">
        <x:f>(LN(1+F16)-LN(1+E16))/4</x:f>
        <x:v>0.3405492023852076</x:v>
      </x:c>
      <x:c r="Y16" s="28" t="n">
        <x:f>I16-H16</x:f>
        <x:v>39.300000000000004</x:v>
      </x:c>
      <x:c r="Z16" s="28" t="n">
        <x:f>K16-J16</x:f>
        <x:v>63</x:v>
      </x:c>
      <x:c r="AA16" s="26" t="n">
        <x:v>62.41</x:v>
      </x:c>
      <x:c r="AB16" s="26" t="n">
        <x:v>64.7</x:v>
      </x:c>
      <x:c r="AC16" s="26" t="n">
        <x:v>64.5</x:v>
      </x:c>
      <x:c r="AD16" s="26" t="n">
        <x:v>65.44</x:v>
      </x:c>
      <x:c r="AE16" s="26" t="n">
        <x:v>65.22</x:v>
      </x:c>
      <x:c r="AF16" s="26" t="n">
        <x:v>65.22</x:v>
      </x:c>
      <x:c r="AG16" s="26" t="n">
        <x:f>AF16-AA16</x:f>
        <x:v>2.8100000000000023</x:v>
      </x:c>
      <x:c r="AH16" s="26" t="n">
        <x:v>0.36</x:v>
      </x:c>
      <x:c r="AI16" s="26" t="n">
        <x:v>30.97</x:v>
      </x:c>
      <x:c r="AJ16" s="26" t="n">
        <x:v>74.58</x:v>
      </x:c>
      <x:c r="AK16" s="26" t="n">
        <x:f>AJ16-AI16</x:f>
        <x:v>43.61</x:v>
      </x:c>
      <x:c r="AL16" s="24" t="n">
        <x:v>703.18</x:v>
      </x:c>
      <x:c r="AM16" s="24" t="n">
        <x:v>274.71</x:v>
      </x:c>
      <x:c r="AN16" s="24" t="n">
        <x:v>123</x:v>
      </x:c>
      <x:c r="AO16" s="24" t="n">
        <x:v>123</x:v>
      </x:c>
      <x:c r="AP16" s="24" t="n">
        <x:v>123.43</x:v>
      </x:c>
      <x:c r="AQ16" s="24" t="n">
        <x:v>203.43</x:v>
      </x:c>
      <x:c r="AR16" s="22" t="n">
        <x:f>IF(AP16&gt;0,AN16/AP16,"")</x:f>
        <x:v>0.9965162440249533</x:v>
      </x:c>
      <x:c r="AS16" s="22" t="n">
        <x:f>IF(AQ16&gt;0,AO16/AQ16,"")</x:f>
        <x:v>0.6046305854593718</x:v>
      </x:c>
      <x:c r="AT16" s="22" t="n">
        <x:f>AS16-AR16</x:f>
        <x:v>-0.39188565856558155</x:v>
      </x:c>
      <x:c r="AU16" s="28" t="n">
        <x:f>(LN(1+AO16)-LN(1+AN16))/5</x:f>
        <x:v>0</x:v>
      </x:c>
    </x:row>
    <x:row r="17">
      <x:c r="A17" t="str">
        <x:v>Egypt</x:v>
      </x:c>
      <x:c r="B17" t="str">
        <x:v>Egypt</x:v>
      </x:c>
      <x:c r="C17" t="str">
        <x:v>Leading</x:v>
      </x:c>
      <x:c r="D17" s="24" t="n">
        <x:v>3681</x:v>
      </x:c>
      <x:c r="E17" s="24" t="n">
        <x:v>6258</x:v>
      </x:c>
      <x:c r="F17" s="24" t="n">
        <x:v>9258</x:v>
      </x:c>
      <x:c r="G17" s="24" t="n">
        <x:v>28743</x:v>
      </x:c>
      <x:c r="H17" s="26" t="n">
        <x:v>9.5</x:v>
      </x:c>
      <x:c r="I17" s="26" t="n">
        <x:v>14.6</x:v>
      </x:c>
      <x:c r="J17" s="26" t="n">
        <x:v>8.6</x:v>
      </x:c>
      <x:c r="K17" s="26" t="n">
        <x:v>12.4</x:v>
      </x:c>
      <x:c r="L17" s="26" t="n">
        <x:v>66.5</x:v>
      </x:c>
      <x:c r="M17" s="22" t="n">
        <x:f>IF(D17&gt;0,(F17/D17)^(1/9)-1,"")</x:f>
        <x:v>0.10791312306850132</x:v>
      </x:c>
      <x:c r="N17" s="24" t="n">
        <x:f>F17-D17</x:f>
        <x:v>5577</x:v>
      </x:c>
      <x:c r="O17" s="22" t="n">
        <x:f>N17/SUM($N$2:$N$55)</x:f>
        <x:v>0.12458393834468894</x:v>
      </x:c>
      <x:c r="P17" t="n">
        <x:f>1+COUNTIF($F$2:$F$55,"&gt;"&amp;F17)</x:f>
        <x:v>3</x:v>
      </x:c>
      <x:c r="Q17" s="28" t="n">
        <x:f>LN(1+F17)</x:f>
        <x:v>9.133351330448047</x:v>
      </x:c>
      <x:c r="R17" s="28" t="n">
        <x:f>LN(1+G17)</x:f>
        <x:v>10.266184328793354</x:v>
      </x:c>
      <x:c r="S17" s="28" t="n">
        <x:f>O17</x:f>
        <x:v>0.12458393834468894</x:v>
      </x:c>
      <x:c r="T17" s="28" t="n">
        <x:f>I17/100</x:f>
        <x:v>0.146</x:v>
      </x:c>
      <x:c r="U17" s="28" t="n">
        <x:f>K17/100</x:f>
        <x:v>0.124</x:v>
      </x:c>
      <x:c r="V17" s="28" t="n">
        <x:f>LN(1+L17)</x:f>
        <x:v>4.212127597878484</x:v>
      </x:c>
      <x:c r="W17" s="28" t="n">
        <x:f>(LN(1+F17)-LN(1+D17))/9</x:f>
        <x:v>0.10245999651722491</x:v>
      </x:c>
      <x:c r="X17" s="28" t="n">
        <x:f>(LN(1+F17)-LN(1+E17))/4</x:f>
        <x:v>0.09789390588083657</x:v>
      </x:c>
      <x:c r="Y17" s="28" t="n">
        <x:f>I17-H17</x:f>
        <x:v>5.1</x:v>
      </x:c>
      <x:c r="Z17" s="28" t="n">
        <x:f>K17-J17</x:f>
        <x:v>3.8000000000000007</x:v>
      </x:c>
      <x:c r="AA17" s="26" t="n">
        <x:v>100</x:v>
      </x:c>
      <x:c r="AB17" s="26" t="n">
        <x:v>100</x:v>
      </x:c>
      <x:c r="AC17" s="26" t="n">
        <x:v>100</x:v>
      </x:c>
      <x:c r="AD17" s="26" t="n">
        <x:v>100</x:v>
      </x:c>
      <x:c r="AE17" s="26" t="n">
        <x:v>100</x:v>
      </x:c>
      <x:c r="AF17" s="26" t="n">
        <x:v>100</x:v>
      </x:c>
      <x:c r="AG17" s="26" t="n">
        <x:f>AF17-AA17</x:f>
        <x:v>0</x:v>
      </x:c>
      <x:c r="AH17" s="26" t="n">
        <x:v>0</x:v>
      </x:c>
      <x:c r="AI17" s="26" t="n">
        <x:v>100</x:v>
      </x:c>
      <x:c r="AJ17" s="26" t="n">
        <x:v>100</x:v>
      </x:c>
      <x:c r="AK17" s="26" t="n">
        <x:f>AJ17-AI17</x:f>
        <x:v>0</x:v>
      </x:c>
      <x:c r="AL17" s="24" t="n">
        <x:v>1477.48</x:v>
      </x:c>
      <x:c r="AM17" s="24" t="n">
        <x:v>2118.88</x:v>
      </x:c>
      <x:c r="AN17" s="24" t="n">
        <x:v>50942.5</x:v>
      </x:c>
      <x:c r="AO17" s="24" t="n">
        <x:v>53425</x:v>
      </x:c>
      <x:c r="AP17" s="24" t="n">
        <x:v>55735.7</x:v>
      </x:c>
      <x:c r="AQ17" s="24" t="n">
        <x:v>60134.28</x:v>
      </x:c>
      <x:c r="AR17" s="22" t="n">
        <x:f>IF(AP17&gt;0,AN17/AP17,"")</x:f>
        <x:v>0.9140012595158938</x:v>
      </x:c>
      <x:c r="AS17" s="22" t="n">
        <x:f>IF(AQ17&gt;0,AO17/AQ17,"")</x:f>
        <x:v>0.8884283639880614</x:v>
      </x:c>
      <x:c r="AT17" s="22" t="n">
        <x:f>AS17-AR17</x:f>
        <x:v>-0.025572895527832484</x:v>
      </x:c>
      <x:c r="AU17" s="28" t="n">
        <x:f>(LN(1+AO17)-LN(1+AN17))/5</x:f>
        <x:v>0.009516068676701295</x:v>
      </x:c>
    </x:row>
    <x:row r="18">
      <x:c r="A18" t="str">
        <x:v>Eq Guinea</x:v>
      </x:c>
      <x:c r="B18" t="str">
        <x:v>Equatorial Guinea</x:v>
      </x:c>
      <x:c r="C18" t="str">
        <x:v>Lagging</x:v>
      </x:c>
      <x:c r="D18" s="24" t="n">
        <x:v>126</x:v>
      </x:c>
      <x:c r="E18" s="24" t="n">
        <x:v>127</x:v>
      </x:c>
      <x:c r="F18" s="24" t="n">
        <x:v>127</x:v>
      </x:c>
      <x:c r="G18" s="24" t="n">
        <x:v>446</x:v>
      </x:c>
      <x:c r="H18" s="26" t="n">
        <x:v>33.8</x:v>
      </x:c>
      <x:c r="I18" s="26" t="n">
        <x:v>31.7</x:v>
      </x:c>
      <x:c r="J18" s="26" t="n">
        <x:v>33.7</x:v>
      </x:c>
      <x:c r="K18" s="26" t="n">
        <x:v>38</x:v>
      </x:c>
      <x:c r="L18" s="26" t="n">
        <x:v>67.2</x:v>
      </x:c>
      <x:c r="M18" s="22" t="n">
        <x:f>IF(D18&gt;0,(F18/D18)^(1/9)-1,"")</x:f>
        <x:v>0.0008787391437761194</x:v>
      </x:c>
      <x:c r="N18" s="24" t="n">
        <x:f>F18-D18</x:f>
        <x:v>1</x:v>
      </x:c>
      <x:c r="O18" s="22" t="n">
        <x:f>N18/SUM($N$2:$N$55)</x:f>
        <x:v>0.000022338880822070814</x:v>
      </x:c>
      <x:c r="P18" t="n">
        <x:f>1+COUNTIF($F$2:$F$55,"&gt;"&amp;F18)</x:f>
        <x:v>35</x:v>
      </x:c>
      <x:c r="Q18" s="28" t="n">
        <x:f>LN(1+F18)</x:f>
        <x:v>4.852030263919617</x:v>
      </x:c>
      <x:c r="R18" s="28" t="n">
        <x:f>LN(1+G18)</x:f>
        <x:v>6.102558594613569</x:v>
      </x:c>
      <x:c r="S18" s="28" t="n">
        <x:f>O18</x:f>
        <x:v>0.000022338880822070814</x:v>
      </x:c>
      <x:c r="T18" s="28" t="n">
        <x:f>I18/100</x:f>
        <x:v>0.317</x:v>
      </x:c>
      <x:c r="U18" s="28" t="n">
        <x:f>K18/100</x:f>
        <x:v>0.38</x:v>
      </x:c>
      <x:c r="V18" s="28" t="n">
        <x:f>LN(1+L18)</x:f>
        <x:v>4.222444564849416</x:v>
      </x:c>
      <x:c r="W18" s="28" t="n">
        <x:f>(LN(1+F18)-LN(1+D18))/9</x:f>
        <x:v>0.0008714641623361885</x:v>
      </x:c>
      <x:c r="X18" s="28" t="n">
        <x:f>(LN(1+F18)-LN(1+E18))/4</x:f>
        <x:v>0</x:v>
      </x:c>
      <x:c r="Y18" s="28" t="n">
        <x:f>I18-H18</x:f>
        <x:v>-2.099999999999998</x:v>
      </x:c>
      <x:c r="Z18" s="28" t="n">
        <x:f>K18-J18</x:f>
        <x:v>4.299999999999997</x:v>
      </x:c>
      <x:c r="AA18" s="26" t="n">
        <x:v>66.46</x:v>
      </x:c>
      <x:c r="AB18" s="26" t="n">
        <x:v>66.57</x:v>
      </x:c>
      <x:c r="AC18" s="26" t="n">
        <x:v>66.68</x:v>
      </x:c>
      <x:c r="AD18" s="26" t="n">
        <x:v>66.79</x:v>
      </x:c>
      <x:c r="AE18" s="26" t="n">
        <x:v>66.98</x:v>
      </x:c>
      <x:c r="AF18" s="26" t="n">
        <x:v>66.86</x:v>
      </x:c>
      <x:c r="AG18" s="26" t="n">
        <x:f>AF18-AA18</x:f>
        <x:v>0.4000000000000057</x:v>
      </x:c>
      <x:c r="AH18" s="26" t="n">
        <x:v>0.51</x:v>
      </x:c>
      <x:c r="AI18" s="26" t="n">
        <x:v>2.36</x:v>
      </x:c>
      <x:c r="AJ18" s="26" t="n">
        <x:v>89</x:v>
      </x:c>
      <x:c r="AK18" s="26" t="n">
        <x:f>AJ18-AI18</x:f>
        <x:v>86.64</x:v>
      </x:c>
      <x:c r="AL18" s="24" t="n">
        <x:v>18796.29</x:v>
      </x:c>
      <x:c r="AM18" s="24" t="n">
        <x:v>1023.04</x:v>
      </x:c>
      <x:c r="AN18" s="24" t="n">
        <x:v>273.97</x:v>
      </x:c>
      <x:c r="AO18" s="24" t="n">
        <x:v>273.97</x:v>
      </x:c>
      <x:c r="AP18" s="24" t="n">
        <x:v>401.46</x:v>
      </x:c>
      <x:c r="AQ18" s="24" t="n">
        <x:v>401.12</x:v>
      </x:c>
      <x:c r="AR18" s="22" t="n">
        <x:f>IF(AP18&gt;0,AN18/AP18,"")</x:f>
        <x:v>0.6824341154785035</x:v>
      </x:c>
      <x:c r="AS18" s="22" t="n">
        <x:f>IF(AQ18&gt;0,AO18/AQ18,"")</x:f>
        <x:v>0.6830125648185082</x:v>
      </x:c>
      <x:c r="AT18" s="22" t="n">
        <x:f>AS18-AR18</x:f>
        <x:v>0.0005784493400047275</x:v>
      </x:c>
      <x:c r="AU18" s="28" t="n">
        <x:f>(LN(1+AO18)-LN(1+AN18))/5</x:f>
        <x:v>0</x:v>
      </x:c>
    </x:row>
    <x:row r="19">
      <x:c r="A19" t="str">
        <x:v>Eritrea</x:v>
      </x:c>
      <x:c r="B19" t="str">
        <x:v>Eritrea</x:v>
      </x:c>
      <x:c r="C19" t="str">
        <x:v>Lagging</x:v>
      </x:c>
      <x:c r="D19" s="24" t="n">
        <x:v>10</x:v>
      </x:c>
      <x:c r="E19" s="24" t="n">
        <x:v>26</x:v>
      </x:c>
      <x:c r="F19" s="24" t="n">
        <x:v>26</x:v>
      </x:c>
      <x:c r="G19" s="24" t="n">
        <x:v>49</x:v>
      </x:c>
      <x:c r="H19" s="26" t="n">
        <x:v>5.8</x:v>
      </x:c>
      <x:c r="I19" s="26" t="n">
        <x:v>11.2</x:v>
      </x:c>
      <x:c r="J19" s="26" t="n">
        <x:v>6.7</x:v>
      </x:c>
      <x:c r="K19" s="26" t="n">
        <x:v>10.1</x:v>
      </x:c>
      <x:c r="L19" s="26" t="n">
        <x:v>7.2</x:v>
      </x:c>
      <x:c r="M19" s="22" t="n">
        <x:f>IF(D19&gt;0,(F19/D19)^(1/9)-1,"")</x:f>
        <x:v>0.1120086097022166</x:v>
      </x:c>
      <x:c r="N19" s="24" t="n">
        <x:f>F19-D19</x:f>
        <x:v>16</x:v>
      </x:c>
      <x:c r="O19" s="22" t="n">
        <x:f>N19/SUM($N$2:$N$55)</x:f>
        <x:v>0.00035742209315313303</x:v>
      </x:c>
      <x:c r="P19" t="n">
        <x:f>1+COUNTIF($F$2:$F$55,"&gt;"&amp;F19)</x:f>
        <x:v>48</x:v>
      </x:c>
      <x:c r="Q19" s="28" t="n">
        <x:f>LN(1+F19)</x:f>
        <x:v>3.295836866004329</x:v>
      </x:c>
      <x:c r="R19" s="28" t="n">
        <x:f>LN(1+G19)</x:f>
        <x:v>3.912023005428146</x:v>
      </x:c>
      <x:c r="S19" s="28" t="n">
        <x:f>O19</x:f>
        <x:v>0.00035742209315313303</x:v>
      </x:c>
      <x:c r="T19" s="28" t="n">
        <x:f>I19/100</x:f>
        <x:v>0.11199999999999999</x:v>
      </x:c>
      <x:c r="U19" s="28" t="n">
        <x:f>K19/100</x:f>
        <x:v>0.10099999999999999</x:v>
      </x:c>
      <x:c r="V19" s="28" t="n">
        <x:f>LN(1+L19)</x:f>
        <x:v>2.1041341542702074</x:v>
      </x:c>
      <x:c r="W19" s="28" t="n">
        <x:f>(LN(1+F19)-LN(1+D19))/9</x:f>
        <x:v>0.09977128813399538</x:v>
      </x:c>
      <x:c r="X19" s="28" t="n">
        <x:f>(LN(1+F19)-LN(1+E19))/4</x:f>
        <x:v>0</x:v>
      </x:c>
      <x:c r="Y19" s="28" t="n">
        <x:f>I19-H19</x:f>
        <x:v>5.3999999999999995</x:v>
      </x:c>
      <x:c r="Z19" s="28" t="n">
        <x:f>K19-J19</x:f>
        <x:v>3.3999999999999995</x:v>
      </x:c>
      <x:c r="AA19" s="26" t="n">
        <x:v>49.15</x:v>
      </x:c>
      <x:c r="AB19" s="26" t="n">
        <x:v>50.27</x:v>
      </x:c>
      <x:c r="AC19" s="26" t="n">
        <x:v>51.39</x:v>
      </x:c>
      <x:c r="AD19" s="26" t="n">
        <x:v>52.51</x:v>
      </x:c>
      <x:c r="AE19" s="26" t="n">
        <x:v>53.42</x:v>
      </x:c>
      <x:c r="AF19" s="26" t="n">
        <x:v>54.4</x:v>
      </x:c>
      <x:c r="AG19" s="26" t="n">
        <x:f>AF19-AA19</x:f>
        <x:v>5.25</x:v>
      </x:c>
      <x:c r="AH19" s="26" t="n">
        <x:v>2.65</x:v>
      </x:c>
      <x:c r="AI19" s="26" t="n">
        <x:v>37.07</x:v>
      </x:c>
      <x:c r="AJ19" s="26" t="n">
        <x:v>77.11</x:v>
      </x:c>
      <x:c r="AK19" s="26" t="n">
        <x:f>AJ19-AI19</x:f>
        <x:v>40.04</x:v>
      </x:c>
      <x:c r="AL19" s="24" t="n">
        <x:v>60.3</x:v>
      </x:c>
      <x:c r="AM19" s="24" t="n">
        <x:v>72.57</x:v>
      </x:c>
      <x:c r="AN19" s="24" t="n">
        <x:v>206</x:v>
      </x:c>
      <x:c r="AO19" s="24" t="n">
        <x:v>206</x:v>
      </x:c>
      <x:c r="AP19" s="24" t="n">
        <x:v>232.69</x:v>
      </x:c>
      <x:c r="AQ19" s="24" t="n">
        <x:v>231.61</x:v>
      </x:c>
      <x:c r="AR19" s="22" t="n">
        <x:f>IF(AP19&gt;0,AN19/AP19,"")</x:f>
        <x:v>0.8852980360135803</x:v>
      </x:c>
      <x:c r="AS19" s="22" t="n">
        <x:f>IF(AQ19&gt;0,AO19/AQ19,"")</x:f>
        <x:v>0.8894261905789905</x:v>
      </x:c>
      <x:c r="AT19" s="22" t="n">
        <x:f>AS19-AR19</x:f>
        <x:v>0.004128154565410269</x:v>
      </x:c>
      <x:c r="AU19" s="28" t="n">
        <x:f>(LN(1+AO19)-LN(1+AN19))/5</x:f>
        <x:v>0</x:v>
      </x:c>
    </x:row>
    <x:row r="20">
      <x:c r="A20" t="str">
        <x:v>Eswatini</x:v>
      </x:c>
      <x:c r="B20" t="str">
        <x:v>Eswatini</x:v>
      </x:c>
      <x:c r="C20" t="str">
        <x:v>Lagging</x:v>
      </x:c>
      <x:c r="D20" s="24" t="n">
        <x:v>168</x:v>
      </x:c>
      <x:c r="E20" s="24" t="n">
        <x:v>178</x:v>
      </x:c>
      <x:c r="F20" s="24" t="n">
        <x:v>197</x:v>
      </x:c>
      <x:c r="G20" s="24" t="n">
        <x:v>605</x:v>
      </x:c>
      <x:c r="H20" s="26" t="n">
        <x:v>94.4</x:v>
      </x:c>
      <x:c r="I20" s="26" t="n">
        <x:v>95.2</x:v>
      </x:c>
      <x:c r="J20" s="26" t="n">
        <x:v>98.1</x:v>
      </x:c>
      <x:c r="K20" s="26" t="n">
        <x:v>98.9</x:v>
      </x:c>
      <x:c r="L20" s="26" t="n">
        <x:v>158.9</x:v>
      </x:c>
      <x:c r="M20" s="22" t="n">
        <x:f>IF(D20&gt;0,(F20/D20)^(1/9)-1,"")</x:f>
        <x:v>0.017850759266222038</x:v>
      </x:c>
      <x:c r="N20" s="24" t="n">
        <x:f>F20-D20</x:f>
        <x:v>29</x:v>
      </x:c>
      <x:c r="O20" s="22" t="n">
        <x:f>N20/SUM($N$2:$N$55)</x:f>
        <x:v>0.0006478275438400536</x:v>
      </x:c>
      <x:c r="P20" t="n">
        <x:f>1+COUNTIF($F$2:$F$55,"&gt;"&amp;F20)</x:f>
        <x:v>31</x:v>
      </x:c>
      <x:c r="Q20" s="28" t="n">
        <x:f>LN(1+F20)</x:f>
        <x:v>5.288267030694535</x:v>
      </x:c>
      <x:c r="R20" s="28" t="n">
        <x:f>LN(1+G20)</x:f>
        <x:v>6.406879986069314</x:v>
      </x:c>
      <x:c r="S20" s="28" t="n">
        <x:f>O20</x:f>
        <x:v>0.0006478275438400536</x:v>
      </x:c>
      <x:c r="T20" s="28" t="n">
        <x:f>I20/100</x:f>
        <x:v>0.9520000000000001</x:v>
      </x:c>
      <x:c r="U20" s="28" t="n">
        <x:f>K20/100</x:f>
        <x:v>0.9890000000000001</x:v>
      </x:c>
      <x:c r="V20" s="28" t="n">
        <x:f>LN(1+L20)</x:f>
        <x:v>5.074548619839908</x:v>
      </x:c>
      <x:c r="W20" s="28" t="n">
        <x:f>(LN(1+F20)-LN(1+D20))/9</x:f>
        <x:v>0.017596479530162412</x:v>
      </x:c>
      <x:c r="X20" s="28" t="n">
        <x:f>(LN(1+F20)-LN(1+E20))/4</x:f>
        <x:v>0.025220306213445065</x:v>
      </x:c>
      <x:c r="Y20" s="28" t="n">
        <x:f>I20-H20</x:f>
        <x:v>0.7999999999999972</x:v>
      </x:c>
      <x:c r="Z20" s="28" t="n">
        <x:f>K20-J20</x:f>
        <x:v>0.8000000000000114</x:v>
      </x:c>
      <x:c r="AA20" s="26" t="n">
        <x:v>73.96</x:v>
      </x:c>
      <x:c r="AB20" s="26" t="n">
        <x:v>77.03</x:v>
      </x:c>
      <x:c r="AC20" s="26" t="n">
        <x:v>79.99</x:v>
      </x:c>
      <x:c r="AD20" s="26" t="n">
        <x:v>82.9</x:v>
      </x:c>
      <x:c r="AE20" s="26" t="n">
        <x:v>82.28</x:v>
      </x:c>
      <x:c r="AF20" s="26" t="n">
        <x:v>86.38</x:v>
      </x:c>
      <x:c r="AG20" s="26" t="n">
        <x:f>AF20-AA20</x:f>
        <x:v>12.420000000000002</x:v>
      </x:c>
      <x:c r="AH20" s="26" t="n">
        <x:v>0.21</x:v>
      </x:c>
      <x:c r="AI20" s="26" t="n">
        <x:v>84.86</x:v>
      </x:c>
      <x:c r="AJ20" s="26" t="n">
        <x:v>91.01</x:v>
      </x:c>
      <x:c r="AK20" s="26" t="n">
        <x:f>AJ20-AI20</x:f>
        <x:v>6.150000000000006</x:v>
      </x:c>
      <x:c r="AL20" s="24" t="n">
        <x:v>963.3</x:v>
      </x:c>
      <x:c r="AM20" s="24" t="n">
        <x:v>451.79</x:v>
      </x:c>
      <x:c r="AN20" s="24" t="n">
        <x:v>9.9</x:v>
      </x:c>
      <x:c r="AO20" s="24" t="n">
        <x:v>9.9</x:v>
      </x:c>
      <x:c r="AP20" s="24" t="n">
        <x:v>178.23</x:v>
      </x:c>
      <x:c r="AQ20" s="24" t="n">
        <x:v>207.38</x:v>
      </x:c>
      <x:c r="AR20" s="22" t="n">
        <x:f>IF(AP20&gt;0,AN20/AP20,"")</x:f>
        <x:v>0.055546204342703256</x:v>
      </x:c>
      <x:c r="AS20" s="22" t="n">
        <x:f>IF(AQ20&gt;0,AO20/AQ20,"")</x:f>
        <x:v>0.04773845115247372</x:v>
      </x:c>
      <x:c r="AT20" s="22" t="n">
        <x:f>AS20-AR20</x:f>
        <x:v>-0.007807753190229534</x:v>
      </x:c>
      <x:c r="AU20" s="28" t="n">
        <x:f>(LN(1+AO20)-LN(1+AN20))/5</x:f>
        <x:v>0</x:v>
      </x:c>
    </x:row>
    <x:row r="21">
      <x:c r="A21" t="str">
        <x:v>Ethiopia</x:v>
      </x:c>
      <x:c r="B21" t="str">
        <x:v>Ethiopia</x:v>
      </x:c>
      <x:c r="C21" t="str">
        <x:v>Leading</x:v>
      </x:c>
      <x:c r="D21" s="24" t="n">
        <x:v>2649</x:v>
      </x:c>
      <x:c r="E21" s="24" t="n">
        <x:v>4759</x:v>
      </x:c>
      <x:c r="F21" s="24" t="n">
        <x:v>10082</x:v>
      </x:c>
      <x:c r="G21" s="24" t="n">
        <x:v>20639</x:v>
      </x:c>
      <x:c r="H21" s="26" t="n">
        <x:v>96.4</x:v>
      </x:c>
      <x:c r="I21" s="26" t="n">
        <x:v>99</x:v>
      </x:c>
      <x:c r="J21" s="26" t="n">
        <x:v>100</x:v>
      </x:c>
      <x:c r="K21" s="26" t="n">
        <x:v>100</x:v>
      </x:c>
      <x:c r="L21" s="26" t="n">
        <x:v>45.4</x:v>
      </x:c>
      <x:c r="M21" s="22" t="n">
        <x:f>IF(D21&gt;0,(F21/D21)^(1/9)-1,"")</x:f>
        <x:v>0.16010174926164722</x:v>
      </x:c>
      <x:c r="N21" s="24" t="n">
        <x:f>F21-D21</x:f>
        <x:v>7433</x:v>
      </x:c>
      <x:c r="O21" s="22" t="n">
        <x:f>N21/SUM($N$2:$N$55)</x:f>
        <x:v>0.16604490115045237</x:v>
      </x:c>
      <x:c r="P21" t="n">
        <x:f>1+COUNTIF($F$2:$F$55,"&gt;"&amp;F21)</x:f>
        <x:v>2</x:v>
      </x:c>
      <x:c r="Q21" s="28" t="n">
        <x:f>LN(1+F21)</x:f>
        <x:v>9.218606116393214</x:v>
      </x:c>
      <x:c r="R21" s="28" t="n">
        <x:f>LN(1+G21)</x:f>
        <x:v>9.9349862195955</x:v>
      </x:c>
      <x:c r="S21" s="28" t="n">
        <x:f>O21</x:f>
        <x:v>0.16604490115045237</x:v>
      </x:c>
      <x:c r="T21" s="28" t="n">
        <x:f>I21/100</x:f>
        <x:v>0.99</x:v>
      </x:c>
      <x:c r="U21" s="28" t="n">
        <x:f>K21/100</x:f>
        <x:v>1</x:v>
      </x:c>
      <x:c r="V21" s="28" t="n">
        <x:f>LN(1+L21)</x:f>
        <x:v>3.8372994592322094</x:v>
      </x:c>
      <x:c r="W21" s="28" t="n">
        <x:f>(LN(1+F21)-LN(1+D21))/9</x:f>
        <x:v>0.14847679971254962</x:v>
      </x:c>
      <x:c r="X21" s="28" t="n">
        <x:f>(LN(1+F21)-LN(1+E21))/4</x:f>
        <x:v>0.18765079229193704</x:v>
      </x:c>
      <x:c r="Y21" s="28" t="n">
        <x:f>I21-H21</x:f>
        <x:v>2.5999999999999943</x:v>
      </x:c>
      <x:c r="Z21" s="28" t="n">
        <x:f>K21-J21</x:f>
        <x:v>0</x:v>
      </x:c>
      <x:c r="AA21" s="26" t="n">
        <x:v>44.84</x:v>
      </x:c>
      <x:c r="AB21" s="26" t="n">
        <x:v>48.05</x:v>
      </x:c>
      <x:c r="AC21" s="26" t="n">
        <x:v>51.14</x:v>
      </x:c>
      <x:c r="AD21" s="26" t="n">
        <x:v>54.19</x:v>
      </x:c>
      <x:c r="AE21" s="26" t="n">
        <x:v>55.39</x:v>
      </x:c>
      <x:c r="AF21" s="26" t="n">
        <x:v>55.42</x:v>
      </x:c>
      <x:c r="AG21" s="26" t="n">
        <x:f>AF21-AA21</x:f>
        <x:v>10.579999999999998</x:v>
      </x:c>
      <x:c r="AH21" s="26" t="n">
        <x:v>53.82</x:v>
      </x:c>
      <x:c r="AI21" s="26" t="n">
        <x:v>43.58</x:v>
      </x:c>
      <x:c r="AJ21" s="26" t="n">
        <x:v>94.74</x:v>
      </x:c>
      <x:c r="AK21" s="26" t="n">
        <x:f>AJ21-AI21</x:f>
        <x:v>51.16</x:v>
      </x:c>
      <x:c r="AL21" s="24" t="n">
        <x:v>97.31</x:v>
      </x:c>
      <x:c r="AM21" s="24" t="n">
        <x:v>146.68</x:v>
      </x:c>
      <x:c r="AN21" s="24" t="n">
        <x:v>87</x:v>
      </x:c>
      <x:c r="AO21" s="24" t="n">
        <x:v>99.14</x:v>
      </x:c>
      <x:c r="AP21" s="24" t="n">
        <x:v>4537.93</x:v>
      </x:c>
      <x:c r="AQ21" s="24" t="n">
        <x:v>5669.21</x:v>
      </x:c>
      <x:c r="AR21" s="22" t="n">
        <x:f>IF(AP21&gt;0,AN21/AP21,"")</x:f>
        <x:v>0.01917173689325309</x:v>
      </x:c>
      <x:c r="AS21" s="22" t="n">
        <x:f>IF(AQ21&gt;0,AO21/AQ21,"")</x:f>
        <x:v>0.017487445340708847</x:v>
      </x:c>
      <x:c r="AT21" s="22" t="n">
        <x:f>AS21-AR21</x:f>
        <x:v>-0.001684291552544244</x:v>
      </x:c>
      <x:c r="AU21" s="28" t="n">
        <x:f>(LN(1+AO21)-LN(1+AN21))/5</x:f>
        <x:v>0.025846478484718282</x:v>
      </x:c>
    </x:row>
    <x:row r="22">
      <x:c r="A22" t="str">
        <x:v>Gabon</x:v>
      </x:c>
      <x:c r="B22" t="str">
        <x:v>Gabon</x:v>
      </x:c>
      <x:c r="C22" t="str">
        <x:v>Lagging</x:v>
      </x:c>
      <x:c r="D22" s="24" t="n">
        <x:v>172</x:v>
      </x:c>
      <x:c r="E22" s="24" t="n">
        <x:v>321</x:v>
      </x:c>
      <x:c r="F22" s="24" t="n">
        <x:v>332</x:v>
      </x:c>
      <x:c r="G22" s="24" t="n">
        <x:v>914</x:v>
      </x:c>
      <x:c r="H22" s="26" t="n">
        <x:v>36.7</x:v>
      </x:c>
      <x:c r="I22" s="26" t="n">
        <x:v>38.4</x:v>
      </x:c>
      <x:c r="J22" s="26" t="n">
        <x:v>41.6</x:v>
      </x:c>
      <x:c r="K22" s="26" t="n">
        <x:v>38.1</x:v>
      </x:c>
      <x:c r="L22" s="26" t="n">
        <x:v>130.9</x:v>
      </x:c>
      <x:c r="M22" s="22" t="n">
        <x:f>IF(D22&gt;0,(F22/D22)^(1/9)-1,"")</x:f>
        <x:v>0.07580709485147841</x:v>
      </x:c>
      <x:c r="N22" s="24" t="n">
        <x:f>F22-D22</x:f>
        <x:v>160</x:v>
      </x:c>
      <x:c r="O22" s="22" t="n">
        <x:f>N22/SUM($N$2:$N$55)</x:f>
        <x:v>0.0035742209315313303</x:v>
      </x:c>
      <x:c r="P22" t="n">
        <x:f>1+COUNTIF($F$2:$F$55,"&gt;"&amp;F22)</x:f>
        <x:v>25</x:v>
      </x:c>
      <x:c r="Q22" s="28" t="n">
        <x:f>LN(1+F22)</x:f>
        <x:v>5.808142489980444</x:v>
      </x:c>
      <x:c r="R22" s="28" t="n">
        <x:f>LN(1+G22)</x:f>
        <x:v>6.818924065275521</x:v>
      </x:c>
      <x:c r="S22" s="28" t="n">
        <x:f>O22</x:f>
        <x:v>0.0035742209315313303</x:v>
      </x:c>
      <x:c r="T22" s="28" t="n">
        <x:f>I22/100</x:f>
        <x:v>0.384</x:v>
      </x:c>
      <x:c r="U22" s="28" t="n">
        <x:f>K22/100</x:f>
        <x:v>0.381</x:v>
      </x:c>
      <x:c r="V22" s="28" t="n">
        <x:f>LN(1+L22)</x:f>
        <x:v>4.882044059723269</x:v>
      </x:c>
      <x:c r="W22" s="28" t="n">
        <x:f>(LN(1+F22)-LN(1+D22))/9</x:f>
        <x:v>0.07276121060918496</x:v>
      </x:c>
      <x:c r="X22" s="28" t="n">
        <x:f>(LN(1+F22)-LN(1+E22))/4</x:f>
        <x:v>0.008397736109008846</x:v>
      </x:c>
      <x:c r="Y22" s="28" t="n">
        <x:f>I22-H22</x:f>
        <x:v>1.6999999999999957</x:v>
      </x:c>
      <x:c r="Z22" s="28" t="n">
        <x:f>K22-J22</x:f>
        <x:v>-3.5</x:v>
      </x:c>
      <x:c r="AA22" s="26" t="n">
        <x:v>89.57</x:v>
      </x:c>
      <x:c r="AB22" s="26" t="n">
        <x:v>90.32</x:v>
      </x:c>
      <x:c r="AC22" s="26" t="n">
        <x:v>91.06</x:v>
      </x:c>
      <x:c r="AD22" s="26" t="n">
        <x:v>91.81</x:v>
      </x:c>
      <x:c r="AE22" s="26" t="n">
        <x:v>93.49</x:v>
      </x:c>
      <x:c r="AF22" s="26" t="n">
        <x:v>94.12</x:v>
      </x:c>
      <x:c r="AG22" s="26" t="n">
        <x:f>AF22-AA22</x:f>
        <x:v>4.550000000000011</x:v>
      </x:c>
      <x:c r="AH22" s="26" t="n">
        <x:v>0.13</x:v>
      </x:c>
      <x:c r="AI22" s="26" t="n">
        <x:v>42.99</x:v>
      </x:c>
      <x:c r="AJ22" s="26" t="n">
        <x:v>99.15</x:v>
      </x:c>
      <x:c r="AK22" s="26" t="n">
        <x:f>AJ22-AI22</x:f>
        <x:v>56.160000000000004</x:v>
      </x:c>
      <x:c r="AL22" s="24" t="n">
        <x:v>968.8</x:v>
      </x:c>
      <x:c r="AM22" s="24" t="n">
        <x:v>1216.28</x:v>
      </x:c>
      <x:c r="AN22" s="24" t="n">
        <x:v>279.47</x:v>
      </x:c>
      <x:c r="AO22" s="24" t="n">
        <x:v>382</x:v>
      </x:c>
      <x:c r="AP22" s="24" t="n">
        <x:v>452.87</x:v>
      </x:c>
      <x:c r="AQ22" s="24" t="n">
        <x:v>703.32</x:v>
      </x:c>
      <x:c r="AR22" s="22" t="n">
        <x:f>IF(AP22&gt;0,AN22/AP22,"")</x:f>
        <x:v>0.617108662530086</x:v>
      </x:c>
      <x:c r="AS22" s="22" t="n">
        <x:f>IF(AQ22&gt;0,AO22/AQ22,"")</x:f>
        <x:v>0.5431382585451856</x:v>
      </x:c>
      <x:c r="AT22" s="22" t="n">
        <x:f>AS22-AR22</x:f>
        <x:v>-0.0739704039849004</x:v>
      </x:c>
      <x:c r="AU22" s="28" t="n">
        <x:f>(LN(1+AO22)-LN(1+AN22))/5</x:f>
        <x:v>0.06231364436186233</x:v>
      </x:c>
    </x:row>
    <x:row r="23">
      <x:c r="A23" t="str">
        <x:v>Gambia</x:v>
      </x:c>
      <x:c r="B23" t="str">
        <x:v>Gambia</x:v>
      </x:c>
      <x:c r="C23" t="str">
        <x:v>Lagging</x:v>
      </x:c>
      <x:c r="D23" s="24" t="n">
        <x:v>2</x:v>
      </x:c>
      <x:c r="E23" s="24" t="n">
        <x:v>3</x:v>
      </x:c>
      <x:c r="F23" s="24" t="n">
        <x:v>26</x:v>
      </x:c>
      <x:c r="G23" s="24" t="n">
        <x:v>5</x:v>
      </x:c>
      <x:c r="H23" s="26" t="n">
        <x:v>2.9</x:v>
      </x:c>
      <x:c r="I23" s="26" t="n">
        <x:v>14</x:v>
      </x:c>
      <x:c r="J23" s="26" t="n">
        <x:v>1.2</x:v>
      </x:c>
      <x:c r="K23" s="26" t="n">
        <x:v>0.9</x:v>
      </x:c>
      <x:c r="L23" s="26" t="n">
        <x:v>9.4</x:v>
      </x:c>
      <x:c r="M23" s="22" t="n">
        <x:f>IF(D23&gt;0,(F23/D23)^(1/9)-1,"")</x:f>
        <x:v>0.3297545456397859</x:v>
      </x:c>
      <x:c r="N23" s="24" t="n">
        <x:f>F23-D23</x:f>
        <x:v>24</x:v>
      </x:c>
      <x:c r="O23" s="22" t="n">
        <x:f>N23/SUM($N$2:$N$55)</x:f>
        <x:v>0.0005361331397296995</x:v>
      </x:c>
      <x:c r="P23" t="n">
        <x:f>1+COUNTIF($F$2:$F$55,"&gt;"&amp;F23)</x:f>
        <x:v>48</x:v>
      </x:c>
      <x:c r="Q23" s="28" t="n">
        <x:f>LN(1+F23)</x:f>
        <x:v>3.295836866004329</x:v>
      </x:c>
      <x:c r="R23" s="28" t="n">
        <x:f>LN(1+G23)</x:f>
        <x:v>1.791759469228055</x:v>
      </x:c>
      <x:c r="S23" s="28" t="n">
        <x:f>O23</x:f>
        <x:v>0.0005361331397296995</x:v>
      </x:c>
      <x:c r="T23" s="28" t="n">
        <x:f>I23/100</x:f>
        <x:v>0.14</x:v>
      </x:c>
      <x:c r="U23" s="28" t="n">
        <x:f>K23/100</x:f>
        <x:v>0.009000000000000001</x:v>
      </x:c>
      <x:c r="V23" s="28" t="n">
        <x:f>LN(1+L23)</x:f>
        <x:v>2.341805806147327</x:v>
      </x:c>
      <x:c r="W23" s="28" t="n">
        <x:f>(LN(1+F23)-LN(1+D23))/9</x:f>
        <x:v>0.24413606414846878</x:v>
      </x:c>
      <x:c r="X23" s="28" t="n">
        <x:f>(LN(1+F23)-LN(1+E23))/4</x:f>
        <x:v>0.47738562622110964</x:v>
      </x:c>
      <x:c r="Y23" s="28" t="n">
        <x:f>I23-H23</x:f>
        <x:v>11.1</x:v>
      </x:c>
      <x:c r="Z23" s="28" t="n">
        <x:f>K23-J23</x:f>
        <x:v>-0.29999999999999993</x:v>
      </x:c>
      <x:c r="AA23" s="26" t="n">
        <x:v>60.3</x:v>
      </x:c>
      <x:c r="AB23" s="26" t="n">
        <x:v>62.1</x:v>
      </x:c>
      <x:c r="AC23" s="26" t="n">
        <x:v>62.23</x:v>
      </x:c>
      <x:c r="AD23" s="26" t="n">
        <x:v>63.7</x:v>
      </x:c>
      <x:c r="AE23" s="26" t="n">
        <x:v>65.36</x:v>
      </x:c>
      <x:c r="AF23" s="26" t="n">
        <x:v>66.88</x:v>
      </x:c>
      <x:c r="AG23" s="26" t="n">
        <x:f>AF23-AA23</x:f>
        <x:v>6.579999999999998</x:v>
      </x:c>
      <x:c r="AH23" s="26" t="n">
        <x:v>0.83</x:v>
      </x:c>
      <x:c r="AI23" s="26" t="n">
        <x:v>33.47</x:v>
      </x:c>
      <x:c r="AJ23" s="26" t="n">
        <x:v>85.29</x:v>
      </x:c>
      <x:c r="AK23" s="26" t="n">
        <x:f>AJ23-AI23</x:f>
        <x:v>51.82000000000001</x:v>
      </x:c>
      <x:c r="AL23" s="24" t="n">
        <x:v>77.94</x:v>
      </x:c>
      <x:c r="AM23" s="24" t="n">
        <x:v>256.12</x:v>
      </x:c>
      <x:c r="AN23" s="24" t="n">
        <x:v>141.8</x:v>
      </x:c>
      <x:c r="AO23" s="24" t="n">
        <x:v>159.8</x:v>
      </x:c>
      <x:c r="AP23" s="24" t="n">
        <x:v>144.34</x:v>
      </x:c>
      <x:c r="AQ23" s="24" t="n">
        <x:v>162.74</x:v>
      </x:c>
      <x:c r="AR23" s="22" t="n">
        <x:f>IF(AP23&gt;0,AN23/AP23,"")</x:f>
        <x:v>0.9824026603852016</x:v>
      </x:c>
      <x:c r="AS23" s="22" t="n">
        <x:f>IF(AQ23&gt;0,AO23/AQ23,"")</x:f>
        <x:v>0.9819343738478555</x:v>
      </x:c>
      <x:c r="AT23" s="22" t="n">
        <x:f>AS23-AR23</x:f>
        <x:v>-0.0004682865373460965</x:v>
      </x:c>
      <x:c r="AU23" s="28" t="n">
        <x:f>(LN(1+AO23)-LN(1+AN23))/5</x:f>
        <x:v>0.0237432613678763</x:v>
      </x:c>
    </x:row>
    <x:row r="24">
      <x:c r="A24" t="str">
        <x:v>Ghana</x:v>
      </x:c>
      <x:c r="B24" t="str">
        <x:v>Ghana</x:v>
      </x:c>
      <x:c r="C24" t="str">
        <x:v>Balancing</x:v>
      </x:c>
      <x:c r="D24" s="24" t="n">
        <x:v>1630</x:v>
      </x:c>
      <x:c r="E24" s="24" t="n">
        <x:v>1756</x:v>
      </x:c>
      <x:c r="F24" s="24" t="n">
        <x:v>1778</x:v>
      </x:c>
      <x:c r="G24" s="24" t="n">
        <x:v>10173</x:v>
      </x:c>
      <x:c r="H24" s="26" t="n">
        <x:v>42.7</x:v>
      </x:c>
      <x:c r="I24" s="26" t="n">
        <x:v>30.2</x:v>
      </x:c>
      <x:c r="J24" s="26" t="n">
        <x:v>43.1</x:v>
      </x:c>
      <x:c r="K24" s="26" t="n">
        <x:v>39.7</x:v>
      </x:c>
      <x:c r="L24" s="26" t="n">
        <x:v>51.7</x:v>
      </x:c>
      <x:c r="M24" s="22" t="n">
        <x:f>IF(D24&gt;0,(F24/D24)^(1/9)-1,"")</x:f>
        <x:v>0.009703344246348111</x:v>
      </x:c>
      <x:c r="N24" s="24" t="n">
        <x:f>F24-D24</x:f>
        <x:v>148</x:v>
      </x:c>
      <x:c r="O24" s="22" t="n">
        <x:f>N24/SUM($N$2:$N$55)</x:f>
        <x:v>0.0033061543616664806</x:v>
      </x:c>
      <x:c r="P24" t="n">
        <x:f>1+COUNTIF($F$2:$F$55,"&gt;"&amp;F24)</x:f>
        <x:v>14</x:v>
      </x:c>
      <x:c r="Q24" s="28" t="n">
        <x:f>LN(1+F24)</x:f>
        <x:v>7.483806687665835</x:v>
      </x:c>
      <x:c r="R24" s="28" t="n">
        <x:f>LN(1+G24)</x:f>
        <x:v>9.22759072538271</x:v>
      </x:c>
      <x:c r="S24" s="28" t="n">
        <x:f>O24</x:f>
        <x:v>0.0033061543616664806</x:v>
      </x:c>
      <x:c r="T24" s="28" t="n">
        <x:f>I24/100</x:f>
        <x:v>0.302</x:v>
      </x:c>
      <x:c r="U24" s="28" t="n">
        <x:f>K24/100</x:f>
        <x:v>0.397</x:v>
      </x:c>
      <x:c r="V24" s="28" t="n">
        <x:f>LN(1+L24)</x:f>
        <x:v>3.9646154555473165</x:v>
      </x:c>
      <x:c r="W24" s="28" t="n">
        <x:f>(LN(1+F24)-LN(1+D24))/9</x:f>
        <x:v>0.009650898338313476</x:v>
      </x:c>
      <x:c r="X24" s="28" t="n">
        <x:f>(LN(1+F24)-LN(1+E24))/4</x:f>
        <x:v>0.0031108998696844914</x:v>
      </x:c>
      <x:c r="Y24" s="28" t="n">
        <x:f>I24-H24</x:f>
        <x:v>-12.500000000000004</x:v>
      </x:c>
      <x:c r="Z24" s="28" t="n">
        <x:f>K24-J24</x:f>
        <x:v>-3.3999999999999986</x:v>
      </x:c>
      <x:c r="AA24" s="26" t="n">
        <x:v>80.4</x:v>
      </x:c>
      <x:c r="AB24" s="26" t="n">
        <x:v>83.5</x:v>
      </x:c>
      <x:c r="AC24" s="26" t="n">
        <x:v>85.44</x:v>
      </x:c>
      <x:c r="AD24" s="26" t="n">
        <x:v>86.3</x:v>
      </x:c>
      <x:c r="AE24" s="26" t="n">
        <x:v>85.1</x:v>
      </x:c>
      <x:c r="AF24" s="26" t="n">
        <x:v>89.49</x:v>
      </x:c>
      <x:c r="AG24" s="26" t="n">
        <x:f>AF24-AA24</x:f>
        <x:v>9.08999999999999</x:v>
      </x:c>
      <x:c r="AH24" s="26" t="n">
        <x:v>3.43</x:v>
      </x:c>
      <x:c r="AI24" s="26" t="n">
        <x:v>77.8</x:v>
      </x:c>
      <x:c r="AJ24" s="26" t="n">
        <x:v>97.53</x:v>
      </x:c>
      <x:c r="AK24" s="26" t="n">
        <x:f>AJ24-AI24</x:f>
        <x:v>19.730000000000004</x:v>
      </x:c>
      <x:c r="AL24" s="24" t="n">
        <x:v>577.03</x:v>
      </x:c>
      <x:c r="AM24" s="24" t="n">
        <x:v>737.16</x:v>
      </x:c>
      <x:c r="AN24" s="24" t="n">
        <x:v>3113</x:v>
      </x:c>
      <x:c r="AO24" s="24" t="n">
        <x:v>3913.5</x:v>
      </x:c>
      <x:c r="AP24" s="24" t="n">
        <x:v>4777.71</x:v>
      </x:c>
      <x:c r="AQ24" s="24" t="n">
        <x:v>5693.97</x:v>
      </x:c>
      <x:c r="AR24" s="22" t="n">
        <x:f>IF(AP24&gt;0,AN24/AP24,"")</x:f>
        <x:v>0.6515673827000802</x:v>
      </x:c>
      <x:c r="AS24" s="22" t="n">
        <x:f>IF(AQ24&gt;0,AO24/AQ24,"")</x:f>
        <x:v>0.6873060448158315</x:v>
      </x:c>
      <x:c r="AT24" s="22" t="n">
        <x:f>AS24-AR24</x:f>
        <x:v>0.035738662115751274</x:v>
      </x:c>
      <x:c r="AU24" s="28" t="n">
        <x:f>(LN(1+AO24)-LN(1+AN24))/5</x:f>
        <x:v>0.04575590679080506</x:v>
      </x:c>
    </x:row>
    <x:row r="25">
      <x:c r="A25" t="str">
        <x:v>Guinea</x:v>
      </x:c>
      <x:c r="B25" t="str">
        <x:v>Guinea</x:v>
      </x:c>
      <x:c r="C25" t="str">
        <x:v>Balancing</x:v>
      </x:c>
      <x:c r="D25" s="24" t="n">
        <x:v>369</x:v>
      </x:c>
      <x:c r="E25" s="24" t="n">
        <x:v>829</x:v>
      </x:c>
      <x:c r="F25" s="24" t="n">
        <x:v>832</x:v>
      </x:c>
      <x:c r="G25" s="24" t="n">
        <x:v>3813</x:v>
      </x:c>
      <x:c r="H25" s="26" t="n">
        <x:v>62</x:v>
      </x:c>
      <x:c r="I25" s="26" t="n">
        <x:v>66</x:v>
      </x:c>
      <x:c r="J25" s="26" t="n">
        <x:v>67.9</x:v>
      </x:c>
      <x:c r="K25" s="26" t="n">
        <x:v>97.9</x:v>
      </x:c>
      <x:c r="L25" s="26" t="n">
        <x:v>56.3</x:v>
      </x:c>
      <x:c r="M25" s="22" t="n">
        <x:f>IF(D25&gt;0,(F25/D25)^(1/9)-1,"")</x:f>
        <x:v>0.09454342271098581</x:v>
      </x:c>
      <x:c r="N25" s="24" t="n">
        <x:f>F25-D25</x:f>
        <x:v>463</x:v>
      </x:c>
      <x:c r="O25" s="22" t="n">
        <x:f>N25/SUM($N$2:$N$55)</x:f>
        <x:v>0.010342901820618786</x:v>
      </x:c>
      <x:c r="P25" t="n">
        <x:f>1+COUNTIF($F$2:$F$55,"&gt;"&amp;F25)</x:f>
        <x:v>19</x:v>
      </x:c>
      <x:c r="Q25" s="28" t="n">
        <x:f>LN(1+F25)</x:f>
        <x:v>6.725033642166843</x:v>
      </x:c>
      <x:c r="R25" s="28" t="n">
        <x:f>LN(1+G25)</x:f>
        <x:v>8.246433786160365</x:v>
      </x:c>
      <x:c r="S25" s="28" t="n">
        <x:f>O25</x:f>
        <x:v>0.010342901820618786</x:v>
      </x:c>
      <x:c r="T25" s="28" t="n">
        <x:f>I25/100</x:f>
        <x:v>0.66</x:v>
      </x:c>
      <x:c r="U25" s="28" t="n">
        <x:f>K25/100</x:f>
        <x:v>0.9790000000000001</x:v>
      </x:c>
      <x:c r="V25" s="28" t="n">
        <x:f>LN(1+L25)</x:f>
        <x:v>4.048300623720694</x:v>
      </x:c>
      <x:c r="W25" s="28" t="n">
        <x:f>(LN(1+F25)-LN(1+D25))/9</x:f>
        <x:v>0.09017007072539703</x:v>
      </x:c>
      <x:c r="X25" s="28" t="n">
        <x:f>(LN(1+F25)-LN(1+E25))/4</x:f>
        <x:v>0.0009019853440499492</x:v>
      </x:c>
      <x:c r="Y25" s="28" t="n">
        <x:f>I25-H25</x:f>
        <x:v>4</x:v>
      </x:c>
      <x:c r="Z25" s="28" t="n">
        <x:f>K25-J25</x:f>
        <x:v>30</x:v>
      </x:c>
      <x:c r="AA25" s="26" t="n">
        <x:v>45</x:v>
      </x:c>
      <x:c r="AB25" s="26" t="n">
        <x:v>42.2</x:v>
      </x:c>
      <x:c r="AC25" s="26" t="n">
        <x:v>44.75</x:v>
      </x:c>
      <x:c r="AD25" s="26" t="n">
        <x:v>46.81</x:v>
      </x:c>
      <x:c r="AE25" s="26" t="n">
        <x:v>47.72</x:v>
      </x:c>
      <x:c r="AF25" s="26" t="n">
        <x:v>51.12</x:v>
      </x:c>
      <x:c r="AG25" s="26" t="n">
        <x:f>AF25-AA25</x:f>
        <x:v>6.119999999999997</x:v>
      </x:c>
      <x:c r="AH25" s="26" t="n">
        <x:v>7.26</x:v>
      </x:c>
      <x:c r="AI25" s="26" t="n">
        <x:v>25.67</x:v>
      </x:c>
      <x:c r="AJ25" s="26" t="n">
        <x:v>92.49</x:v>
      </x:c>
      <x:c r="AK25" s="26" t="n">
        <x:f>AJ25-AI25</x:f>
        <x:v>66.82</x:v>
      </x:c>
      <x:c r="AL25" s="24" t="n">
        <x:v>193.67</x:v>
      </x:c>
      <x:c r="AM25" s="24" t="n">
        <x:v>219.19</x:v>
      </x:c>
      <x:c r="AN25" s="24" t="n">
        <x:v>247</x:v>
      </x:c>
      <x:c r="AO25" s="24" t="n">
        <x:v>428</x:v>
      </x:c>
      <x:c r="AP25" s="24" t="n">
        <x:v>629.2</x:v>
      </x:c>
      <x:c r="AQ25" s="24" t="n">
        <x:v>1259.1</x:v>
      </x:c>
      <x:c r="AR25" s="22" t="n">
        <x:f>IF(AP25&gt;0,AN25/AP25,"")</x:f>
        <x:v>0.39256198347107435</x:v>
      </x:c>
      <x:c r="AS25" s="22" t="n">
        <x:f>IF(AQ25&gt;0,AO25/AQ25,"")</x:f>
        <x:v>0.33992534349932496</x:v>
      </x:c>
      <x:c r="AT25" s="22" t="n">
        <x:f>AS25-AR25</x:f>
        <x:v>-0.05263663997174939</x:v>
      </x:c>
      <x:c r="AU25" s="28" t="n">
        <x:f>(LN(1+AO25)-LN(1+AN25))/5</x:f>
        <x:v>0.1096056345526069</x:v>
      </x:c>
    </x:row>
    <x:row r="26">
      <x:c r="A26" t="str">
        <x:v>Guinea Bissau</x:v>
      </x:c>
      <x:c r="B26" t="str">
        <x:v>Guinea-Bissau</x:v>
      </x:c>
      <x:c r="C26" t="str">
        <x:v>Lagging</x:v>
      </x:c>
      <x:c r="D26" s="24" t="n">
        <x:v>1</x:v>
      </x:c>
      <x:c r="E26" s="24" t="n">
        <x:v>2</x:v>
      </x:c>
      <x:c r="F26" s="24" t="n">
        <x:v>3</x:v>
      </x:c>
      <x:c r="G26" s="24" t="n">
        <x:v>3</x:v>
      </x:c>
      <x:c r="H26" s="26" t="n">
        <x:v>2.4</x:v>
      </x:c>
      <x:c r="I26" s="26" t="n">
        <x:v>8.9</x:v>
      </x:c>
      <x:c r="J26" s="26" t="n">
        <x:v>4.4</x:v>
      </x:c>
      <x:c r="K26" s="26" t="n">
        <x:v>12.3</x:v>
      </x:c>
      <x:c r="L26" s="26" t="n">
        <x:v>0.9</x:v>
      </x:c>
      <x:c r="M26" s="22" t="n">
        <x:f>IF(D26&gt;0,(F26/D26)^(1/9)-1,"")</x:f>
        <x:v>0.12983096390975302</x:v>
      </x:c>
      <x:c r="N26" s="24" t="n">
        <x:f>F26-D26</x:f>
        <x:v>2</x:v>
      </x:c>
      <x:c r="O26" s="22" t="n">
        <x:f>N26/SUM($N$2:$N$55)</x:f>
        <x:v>0.00004467776164414163</x:v>
      </x:c>
      <x:c r="P26" t="n">
        <x:f>1+COUNTIF($F$2:$F$55,"&gt;"&amp;F26)</x:f>
        <x:v>54</x:v>
      </x:c>
      <x:c r="Q26" s="28" t="n">
        <x:f>LN(1+F26)</x:f>
        <x:v>1.3862943611198906</x:v>
      </x:c>
      <x:c r="R26" s="28" t="n">
        <x:f>LN(1+G26)</x:f>
        <x:v>1.3862943611198906</x:v>
      </x:c>
      <x:c r="S26" s="28" t="n">
        <x:f>O26</x:f>
        <x:v>0.00004467776164414163</x:v>
      </x:c>
      <x:c r="T26" s="28" t="n">
        <x:f>I26/100</x:f>
        <x:v>0.08900000000000001</x:v>
      </x:c>
      <x:c r="U26" s="28" t="n">
        <x:f>K26/100</x:f>
        <x:v>0.12300000000000001</x:v>
      </x:c>
      <x:c r="V26" s="28" t="n">
        <x:f>LN(1+L26)</x:f>
        <x:v>0.6418538861723947</x:v>
      </x:c>
      <x:c r="W26" s="28" t="n">
        <x:f>(LN(1+F26)-LN(1+D26))/9</x:f>
        <x:v>0.07701635339554948</x:v>
      </x:c>
      <x:c r="X26" s="28" t="n">
        <x:f>(LN(1+F26)-LN(1+E26))/4</x:f>
        <x:v>0.0719205181129452</x:v>
      </x:c>
      <x:c r="Y26" s="28" t="n">
        <x:f>I26-H26</x:f>
        <x:v>6.5</x:v>
      </x:c>
      <x:c r="Z26" s="28" t="n">
        <x:f>K26-J26</x:f>
        <x:v>7.9</x:v>
      </x:c>
      <x:c r="AA26" s="26" t="n">
        <x:v>28.38</x:v>
      </x:c>
      <x:c r="AB26" s="26" t="n">
        <x:v>30.93</x:v>
      </x:c>
      <x:c r="AC26" s="26" t="n">
        <x:v>33.37</x:v>
      </x:c>
      <x:c r="AD26" s="26" t="n">
        <x:v>35.76</x:v>
      </x:c>
      <x:c r="AE26" s="26" t="n">
        <x:v>36.94</x:v>
      </x:c>
      <x:c r="AF26" s="26" t="n">
        <x:v>40.52</x:v>
      </x:c>
      <x:c r="AG26" s="26" t="n">
        <x:f>AF26-AA26</x:f>
        <x:v>12.140000000000004</x:v>
      </x:c>
      <x:c r="AH26" s="26" t="n">
        <x:v>1.28</x:v>
      </x:c>
      <x:c r="AI26" s="26" t="n">
        <x:v>20.69</x:v>
      </x:c>
      <x:c r="AJ26" s="26" t="n">
        <x:v>64.31</x:v>
      </x:c>
      <x:c r="AK26" s="26" t="n">
        <x:f>AJ26-AI26</x:f>
        <x:v>43.620000000000005</x:v>
      </x:c>
      <x:c r="AL26" s="24" t="n">
        <x:v>74.72</x:v>
      </x:c>
      <x:c r="AM26" s="24" t="n">
        <x:v>110.88</x:v>
      </x:c>
      <x:c r="AN26" s="24" t="n">
        <x:v>28</x:v>
      </x:c>
      <x:c r="AO26" s="24" t="n">
        <x:v>28</x:v>
      </x:c>
      <x:c r="AP26" s="24" t="n">
        <x:v>29.83</x:v>
      </x:c>
      <x:c r="AQ26" s="24" t="n">
        <x:v>29.98</x:v>
      </x:c>
      <x:c r="AR26" s="22" t="n">
        <x:f>IF(AP26&gt;0,AN26/AP26,"")</x:f>
        <x:v>0.9386523633925579</x:v>
      </x:c>
      <x:c r="AS26" s="22" t="n">
        <x:f>IF(AQ26&gt;0,AO26/AQ26,"")</x:f>
        <x:v>0.933955970647098</x:v>
      </x:c>
      <x:c r="AT26" s="22" t="n">
        <x:f>AS26-AR26</x:f>
        <x:v>-0.004696392745459854</x:v>
      </x:c>
      <x:c r="AU26" s="28" t="n">
        <x:f>(LN(1+AO26)-LN(1+AN26))/5</x:f>
        <x:v>0</x:v>
      </x:c>
    </x:row>
    <x:row r="27">
      <x:c r="A27" t="str">
        <x:v>Kenya</x:v>
      </x:c>
      <x:c r="B27" t="str">
        <x:v>Kenya</x:v>
      </x:c>
      <x:c r="C27" t="str">
        <x:v>Leading</x:v>
      </x:c>
      <x:c r="D27" s="24" t="n">
        <x:v>1625</x:v>
      </x:c>
      <x:c r="E27" s="24" t="n">
        <x:v>2429</x:v>
      </x:c>
      <x:c r="F27" s="24" t="n">
        <x:v>2979</x:v>
      </x:c>
      <x:c r="G27" s="24" t="n">
        <x:v>10649</x:v>
      </x:c>
      <x:c r="H27" s="26" t="n">
        <x:v>66.1</x:v>
      </x:c>
      <x:c r="I27" s="26" t="n">
        <x:v>82.9</x:v>
      </x:c>
      <x:c r="J27" s="26" t="n">
        <x:v>82.5</x:v>
      </x:c>
      <x:c r="K27" s="26" t="n">
        <x:v>89.6</x:v>
      </x:c>
      <x:c r="L27" s="26" t="n">
        <x:v>54.1</x:v>
      </x:c>
      <x:c r="M27" s="22" t="n">
        <x:f>IF(D27&gt;0,(F27/D27)^(1/9)-1,"")</x:f>
        <x:v>0.06966146058943812</x:v>
      </x:c>
      <x:c r="N27" s="24" t="n">
        <x:f>F27-D27</x:f>
        <x:v>1354</x:v>
      </x:c>
      <x:c r="O27" s="22" t="n">
        <x:f>N27/SUM($N$2:$N$55)</x:f>
        <x:v>0.030246844633083882</x:v>
      </x:c>
      <x:c r="P27" t="n">
        <x:f>1+COUNTIF($F$2:$F$55,"&gt;"&amp;F27)</x:f>
        <x:v>9</x:v>
      </x:c>
      <x:c r="Q27" s="28" t="n">
        <x:f>LN(1+F27)</x:f>
        <x:v>7.9996785794994505</x:v>
      </x:c>
      <x:c r="R27" s="28" t="n">
        <x:f>LN(1+G27)</x:f>
        <x:v>9.273315171137572</x:v>
      </x:c>
      <x:c r="S27" s="28" t="n">
        <x:f>O27</x:f>
        <x:v>0.030246844633083882</x:v>
      </x:c>
      <x:c r="T27" s="28" t="n">
        <x:f>I27/100</x:f>
        <x:v>0.8290000000000001</x:v>
      </x:c>
      <x:c r="U27" s="28" t="n">
        <x:f>K27/100</x:f>
        <x:v>0.8959999999999999</x:v>
      </x:c>
      <x:c r="V27" s="28" t="n">
        <x:f>LN(1+L27)</x:f>
        <x:v>4.009149716158869</x:v>
      </x:c>
      <x:c r="W27" s="28" t="n">
        <x:f>(LN(1+F27)-LN(1+D27))/9</x:f>
        <x:v>0.06731114326574389</x:v>
      </x:c>
      <x:c r="X27" s="28" t="n">
        <x:f>(LN(1+F27)-LN(1+E27))/4</x:f>
        <x:v>0.05100801079121409</x:v>
      </x:c>
      <x:c r="Y27" s="28" t="n">
        <x:f>I27-H27</x:f>
        <x:v>16.80000000000001</x:v>
      </x:c>
      <x:c r="Z27" s="28" t="n">
        <x:f>K27-J27</x:f>
        <x:v>7.099999999999994</x:v>
      </x:c>
      <x:c r="AA27" s="26" t="n">
        <x:v>61.18</x:v>
      </x:c>
      <x:c r="AB27" s="26" t="n">
        <x:v>69.7</x:v>
      </x:c>
      <x:c r="AC27" s="26" t="n">
        <x:v>71.49</x:v>
      </x:c>
      <x:c r="AD27" s="26" t="n">
        <x:v>76.54</x:v>
      </x:c>
      <x:c r="AE27" s="26" t="n">
        <x:v>76</x:v>
      </x:c>
      <x:c r="AF27" s="26" t="n">
        <x:v>76.16</x:v>
      </x:c>
      <x:c r="AG27" s="26" t="n">
        <x:f>AF27-AA27</x:f>
        <x:v>14.979999999999997</x:v>
      </x:c>
      <x:c r="AH27" s="26" t="n">
        <x:v>13.69</x:v>
      </x:c>
      <x:c r="AI27" s="26" t="n">
        <x:v>67.86</x:v>
      </x:c>
      <x:c r="AJ27" s="26" t="n">
        <x:v>95.97</x:v>
      </x:c>
      <x:c r="AK27" s="26" t="n">
        <x:f>AJ27-AI27</x:f>
        <x:v>28.11</x:v>
      </x:c>
      <x:c r="AL27" s="24" t="n">
        <x:v>166.18</x:v>
      </x:c>
      <x:c r="AM27" s="24" t="n">
        <x:v>217.86</x:v>
      </x:c>
      <x:c r="AN27" s="24" t="n">
        <x:v>806.72</x:v>
      </x:c>
      <x:c r="AO27" s="24" t="n">
        <x:v>608.4</x:v>
      </x:c>
      <x:c r="AP27" s="24" t="n">
        <x:v>2865.26</x:v>
      </x:c>
      <x:c r="AQ27" s="24" t="n">
        <x:v>3554.98</x:v>
      </x:c>
      <x:c r="AR27" s="22" t="n">
        <x:f>IF(AP27&gt;0,AN27/AP27,"")</x:f>
        <x:v>0.2815521104541996</x:v>
      </x:c>
      <x:c r="AS27" s="22" t="n">
        <x:f>IF(AQ27&gt;0,AO27/AQ27,"")</x:f>
        <x:v>0.1711402033204125</x:v>
      </x:c>
      <x:c r="AT27" s="22" t="n">
        <x:f>AS27-AR27</x:f>
        <x:v>-0.1104119071337871</x:v>
      </x:c>
      <x:c r="AU27" s="28" t="n">
        <x:f>(LN(1+AO27)-LN(1+AN27))/5</x:f>
        <x:v>-0.056348119451802604</x:v>
      </x:c>
    </x:row>
    <x:row r="28">
      <x:c r="A28" t="str">
        <x:v>Lesotho</x:v>
      </x:c>
      <x:c r="B28" t="str">
        <x:v>Lesotho</x:v>
      </x:c>
      <x:c r="C28" t="str">
        <x:v>Lagging</x:v>
      </x:c>
      <x:c r="D28" s="24" t="n">
        <x:v>75</x:v>
      </x:c>
      <x:c r="E28" s="24" t="n">
        <x:v>75</x:v>
      </x:c>
      <x:c r="F28" s="24" t="n">
        <x:v>104</x:v>
      </x:c>
      <x:c r="G28" s="24" t="n">
        <x:v>482</x:v>
      </x:c>
      <x:c r="H28" s="26" t="n">
        <x:v>99.3</x:v>
      </x:c>
      <x:c r="I28" s="26" t="n">
        <x:v>99.4</x:v>
      </x:c>
      <x:c r="J28" s="26" t="n">
        <x:v>99.9</x:v>
      </x:c>
      <x:c r="K28" s="26" t="n">
        <x:v>99.8</x:v>
      </x:c>
      <x:c r="L28" s="26" t="n">
        <x:v>44.5</x:v>
      </x:c>
      <x:c r="M28" s="22" t="n">
        <x:f>IF(D28&gt;0,(F28/D28)^(1/9)-1,"")</x:f>
        <x:v>0.03699025482429641</x:v>
      </x:c>
      <x:c r="N28" s="24" t="n">
        <x:f>F28-D28</x:f>
        <x:v>29</x:v>
      </x:c>
      <x:c r="O28" s="22" t="n">
        <x:f>N28/SUM($N$2:$N$55)</x:f>
        <x:v>0.0006478275438400536</x:v>
      </x:c>
      <x:c r="P28" t="n">
        <x:f>1+COUNTIF($F$2:$F$55,"&gt;"&amp;F28)</x:f>
        <x:v>39</x:v>
      </x:c>
      <x:c r="Q28" s="28" t="n">
        <x:f>LN(1+F28)</x:f>
        <x:v>4.653960350157523</x:v>
      </x:c>
      <x:c r="R28" s="28" t="n">
        <x:f>LN(1+G28)</x:f>
        <x:v>6.180016653652572</x:v>
      </x:c>
      <x:c r="S28" s="28" t="n">
        <x:f>O28</x:f>
        <x:v>0.0006478275438400536</x:v>
      </x:c>
      <x:c r="T28" s="28" t="n">
        <x:f>I28/100</x:f>
        <x:v>0.9940000000000001</x:v>
      </x:c>
      <x:c r="U28" s="28" t="n">
        <x:f>K28/100</x:f>
        <x:v>0.998</x:v>
      </x:c>
      <x:c r="V28" s="28" t="n">
        <x:f>LN(1+L28)</x:f>
        <x:v>3.817712325956905</x:v>
      </x:c>
      <x:c r="W28" s="28" t="n">
        <x:f>(LN(1+F28)-LN(1+D28))/9</x:f>
        <x:v>0.03591411220791022</x:v>
      </x:c>
      <x:c r="X28" s="28" t="n">
        <x:f>(LN(1+F28)-LN(1+E28))/4</x:f>
        <x:v>0.080806752467798</x:v>
      </x:c>
      <x:c r="Y28" s="28" t="n">
        <x:f>I28-H28</x:f>
        <x:v>0.10000000000000853</x:v>
      </x:c>
      <x:c r="Z28" s="28" t="n">
        <x:f>K28-J28</x:f>
        <x:v>-0.10000000000000853</x:v>
      </x:c>
      <x:c r="AA28" s="26" t="n">
        <x:v>47</x:v>
      </x:c>
      <x:c r="AB28" s="26" t="n">
        <x:v>44.56</x:v>
      </x:c>
      <x:c r="AC28" s="26" t="n">
        <x:v>47.5</x:v>
      </x:c>
      <x:c r="AD28" s="26" t="n">
        <x:v>50.38</x:v>
      </x:c>
      <x:c r="AE28" s="26" t="n">
        <x:v>51.87</x:v>
      </x:c>
      <x:c r="AF28" s="26" t="n">
        <x:v>57.29</x:v>
      </x:c>
      <x:c r="AG28" s="26" t="n">
        <x:f>AF28-AA28</x:f>
        <x:v>10.29</x:v>
      </x:c>
      <x:c r="AH28" s="26" t="n">
        <x:v>1.03</x:v>
      </x:c>
      <x:c r="AI28" s="26" t="n">
        <x:v>45.17</x:v>
      </x:c>
      <x:c r="AJ28" s="26" t="n">
        <x:v>85</x:v>
      </x:c>
      <x:c r="AK28" s="26" t="n">
        <x:f>AJ28-AI28</x:f>
        <x:v>39.83</x:v>
      </x:c>
      <x:c r="AL28" s="24" t="n">
        <x:v>355.49</x:v>
      </x:c>
      <x:c r="AM28" s="24" t="n">
        <x:v>199.79</x:v>
      </x:c>
      <x:c r="AN28" s="24" t="n">
        <x:v>0.5</x:v>
      </x:c>
      <x:c r="AO28" s="24" t="n">
        <x:v>0.61</x:v>
      </x:c>
      <x:c r="AP28" s="24" t="n">
        <x:v>75.05</x:v>
      </x:c>
      <x:c r="AQ28" s="24" t="n">
        <x:v>103.58</x:v>
      </x:c>
      <x:c r="AR28" s="22" t="n">
        <x:f>IF(AP28&gt;0,AN28/AP28,"")</x:f>
        <x:v>0.006662225183211193</x:v>
      </x:c>
      <x:c r="AS28" s="22" t="n">
        <x:f>IF(AQ28&gt;0,AO28/AQ28,"")</x:f>
        <x:v>0.005889167793010234</x:v>
      </x:c>
      <x:c r="AT28" s="22" t="n">
        <x:f>AS28-AR28</x:f>
        <x:v>-0.000773057390200959</x:v>
      </x:c>
      <x:c r="AU28" s="28" t="n">
        <x:f>(LN(1+AO28)-LN(1+AN28))/5</x:f>
        <x:v>0.014153814177641433</x:v>
      </x:c>
    </x:row>
    <x:row r="29">
      <x:c r="A29" t="str">
        <x:v>Liberia</x:v>
      </x:c>
      <x:c r="B29" t="str">
        <x:v>Liberia</x:v>
      </x:c>
      <x:c r="C29" t="str">
        <x:v>Lagging</x:v>
      </x:c>
      <x:c r="D29" s="24" t="n">
        <x:v>27</x:v>
      </x:c>
      <x:c r="E29" s="24" t="n">
        <x:v>96</x:v>
      </x:c>
      <x:c r="F29" s="24" t="n">
        <x:v>99</x:v>
      </x:c>
      <x:c r="G29" s="24" t="n">
        <x:v>338</x:v>
      </x:c>
      <x:c r="H29" s="26" t="n">
        <x:v>21.8</x:v>
      </x:c>
      <x:c r="I29" s="26" t="n">
        <x:v>50.2</x:v>
      </x:c>
      <x:c r="J29" s="26" t="n">
        <x:v>9.4</x:v>
      </x:c>
      <x:c r="K29" s="26" t="n">
        <x:v>73.7</x:v>
      </x:c>
      <x:c r="L29" s="26" t="n">
        <x:v>17.1</x:v>
      </x:c>
      <x:c r="M29" s="22" t="n">
        <x:f>IF(D29&gt;0,(F29/D29)^(1/9)-1,"")</x:f>
        <x:v>0.1553054593918728</x:v>
      </x:c>
      <x:c r="N29" s="24" t="n">
        <x:f>F29-D29</x:f>
        <x:v>72</x:v>
      </x:c>
      <x:c r="O29" s="22" t="n">
        <x:f>N29/SUM($N$2:$N$55)</x:f>
        <x:v>0.0016083994191890985</x:v>
      </x:c>
      <x:c r="P29" t="n">
        <x:f>1+COUNTIF($F$2:$F$55,"&gt;"&amp;F29)</x:f>
        <x:v>40</x:v>
      </x:c>
      <x:c r="Q29" s="28" t="n">
        <x:f>LN(1+F29)</x:f>
        <x:v>4.605170185988092</x:v>
      </x:c>
      <x:c r="R29" s="28" t="n">
        <x:f>LN(1+G29)</x:f>
        <x:v>5.82600010738045</x:v>
      </x:c>
      <x:c r="S29" s="28" t="n">
        <x:f>O29</x:f>
        <x:v>0.0016083994191890985</x:v>
      </x:c>
      <x:c r="T29" s="28" t="n">
        <x:f>I29/100</x:f>
        <x:v>0.502</x:v>
      </x:c>
      <x:c r="U29" s="28" t="n">
        <x:f>K29/100</x:f>
        <x:v>0.737</x:v>
      </x:c>
      <x:c r="V29" s="28" t="n">
        <x:f>LN(1+L29)</x:f>
        <x:v>2.89591193827178</x:v>
      </x:c>
      <x:c r="W29" s="28" t="n">
        <x:f>(LN(1+F29)-LN(1+D29))/9</x:f>
        <x:v>0.14144063064587645</x:v>
      </x:c>
      <x:c r="X29" s="28" t="n">
        <x:f>(LN(1+F29)-LN(1+E29))/4</x:f>
        <x:v>0.007614801871177246</x:v>
      </x:c>
      <x:c r="Y29" s="28" t="n">
        <x:f>I29-H29</x:f>
        <x:v>28.400000000000002</x:v>
      </x:c>
      <x:c r="Z29" s="28" t="n">
        <x:f>K29-J29</x:f>
        <x:v>64.3</x:v>
      </x:c>
      <x:c r="AA29" s="26" t="n">
        <x:v>22.77</x:v>
      </x:c>
      <x:c r="AB29" s="26" t="n">
        <x:v>23.1</x:v>
      </x:c>
      <x:c r="AC29" s="26" t="n">
        <x:v>27.56</x:v>
      </x:c>
      <x:c r="AD29" s="26" t="n">
        <x:v>29.85</x:v>
      </x:c>
      <x:c r="AE29" s="26" t="n">
        <x:v>31.8</x:v>
      </x:c>
      <x:c r="AF29" s="26" t="n">
        <x:v>32.54</x:v>
      </x:c>
      <x:c r="AG29" s="26" t="n">
        <x:f>AF29-AA29</x:f>
        <x:v>9.77</x:v>
      </x:c>
      <x:c r="AH29" s="26" t="n">
        <x:v>3.71</x:v>
      </x:c>
      <x:c r="AI29" s="26" t="n">
        <x:v>9.29</x:v>
      </x:c>
      <x:c r="AJ29" s="26" t="n">
        <x:v>52.7</x:v>
      </x:c>
      <x:c r="AK29" s="26" t="n">
        <x:f>AJ29-AI29</x:f>
        <x:v>43.410000000000004</x:v>
      </x:c>
      <x:c r="AL29" s="24" t="n">
        <x:v>107.64</x:v>
      </x:c>
      <x:c r="AM29" s="24" t="n">
        <x:v>340.15</x:v>
      </x:c>
      <x:c r="AN29" s="24" t="n">
        <x:v>98.07</x:v>
      </x:c>
      <x:c r="AO29" s="24" t="n">
        <x:v>98.07</x:v>
      </x:c>
      <x:c r="AP29" s="24" t="n">
        <x:v>192.25</x:v>
      </x:c>
      <x:c r="AQ29" s="24" t="n">
        <x:v>194.13</x:v>
      </x:c>
      <x:c r="AR29" s="22" t="n">
        <x:f>IF(AP29&gt;0,AN29/AP29,"")</x:f>
        <x:v>0.5101170351105331</x:v>
      </x:c>
      <x:c r="AS29" s="22" t="n">
        <x:f>IF(AQ29&gt;0,AO29/AQ29,"")</x:f>
        <x:v>0.5051769432854273</x:v>
      </x:c>
      <x:c r="AT29" s="22" t="n">
        <x:f>AS29-AR29</x:f>
        <x:v>-0.004940091825105797</x:v>
      </x:c>
      <x:c r="AU29" s="28" t="n">
        <x:f>(LN(1+AO29)-LN(1+AN29))/5</x:f>
        <x:v>0</x:v>
      </x:c>
    </x:row>
    <x:row r="30">
      <x:c r="A30" t="str">
        <x:v>Libya</x:v>
      </x:c>
      <x:c r="B30" t="str">
        <x:v>Libya</x:v>
      </x:c>
      <x:c r="C30" t="str">
        <x:v>Lagging</x:v>
      </x:c>
      <x:c r="D30" s="24" t="n">
        <x:v>5</x:v>
      </x:c>
      <x:c r="E30" s="24" t="n">
        <x:v>6</x:v>
      </x:c>
      <x:c r="F30" s="24" t="n">
        <x:v>9</x:v>
      </x:c>
      <x:c r="G30" s="24" t="n">
        <x:v>8</x:v>
      </x:c>
      <x:c r="H30" s="26" t="n">
        <x:v>0.1</x:v>
      </x:c>
      <x:c r="I30" s="26" t="n">
        <x:v>0.1</x:v>
      </x:c>
      <x:c r="J30" s="26" t="n">
        <x:v>0</x:v>
      </x:c>
      <x:c r="K30" s="26" t="n">
        <x:v>0</x:v>
      </x:c>
      <x:c r="L30" s="26" t="n">
        <x:v>1.1</x:v>
      </x:c>
      <x:c r="M30" s="22" t="n">
        <x:f>IF(D30&gt;0,(F30/D30)^(1/9)-1,"")</x:f>
        <x:v>0.06748949938819448</x:v>
      </x:c>
      <x:c r="N30" s="24" t="n">
        <x:f>F30-D30</x:f>
        <x:v>4</x:v>
      </x:c>
      <x:c r="O30" s="22" t="n">
        <x:f>N30/SUM($N$2:$N$55)</x:f>
        <x:v>0.00008935552328828326</x:v>
      </x:c>
      <x:c r="P30" t="n">
        <x:f>1+COUNTIF($F$2:$F$55,"&gt;"&amp;F30)</x:f>
        <x:v>52</x:v>
      </x:c>
      <x:c r="Q30" s="28" t="n">
        <x:f>LN(1+F30)</x:f>
        <x:v>2.302585092994046</x:v>
      </x:c>
      <x:c r="R30" s="28" t="n">
        <x:f>LN(1+G30)</x:f>
        <x:v>2.1972245773362196</x:v>
      </x:c>
      <x:c r="S30" s="28" t="n">
        <x:f>O30</x:f>
        <x:v>0.00008935552328828326</x:v>
      </x:c>
      <x:c r="T30" s="28" t="n">
        <x:f>I30/100</x:f>
        <x:v>0.001</x:v>
      </x:c>
      <x:c r="U30" s="28" t="n">
        <x:f>K30/100</x:f>
        <x:v>0</x:v>
      </x:c>
      <x:c r="V30" s="28" t="n">
        <x:f>LN(1+L30)</x:f>
        <x:v>0.7419373447293773</x:v>
      </x:c>
      <x:c r="W30" s="28" t="n">
        <x:f>(LN(1+F30)-LN(1+D30))/9</x:f>
        <x:v>0.05675840264066566</x:v>
      </x:c>
      <x:c r="X30" s="28" t="n">
        <x:f>(LN(1+F30)-LN(1+E30))/4</x:f>
        <x:v>0.08916873598468317</x:v>
      </x:c>
      <x:c r="Y30" s="28" t="n">
        <x:f>I30-H30</x:f>
        <x:v>0</x:v>
      </x:c>
      <x:c r="Z30" s="28" t="n">
        <x:f>K30-J30</x:f>
        <x:v>0</x:v>
      </x:c>
      <x:c r="AA30" s="26" t="n">
        <x:v>67</x:v>
      </x:c>
      <x:c r="AB30" s="26" t="n">
        <x:v>68.47</x:v>
      </x:c>
      <x:c r="AC30" s="26" t="n">
        <x:v>69.37</x:v>
      </x:c>
      <x:c r="AD30" s="26" t="n">
        <x:v>70.21</x:v>
      </x:c>
      <x:c r="AE30" s="26" t="n">
        <x:v>70</x:v>
      </x:c>
      <x:c r="AF30" s="26" t="n">
        <x:v>73.25</x:v>
      </x:c>
      <x:c r="AG30" s="26" t="n">
        <x:f>AF30-AA30</x:f>
        <x:v>6.25</x:v>
      </x:c>
      <x:c r="AH30" s="26" t="n">
        <x:v>1.84</x:v>
      </x:c>
      <x:c r="AI30" s="26" t="n">
        <x:v>7.17</x:v>
      </x:c>
      <x:c r="AJ30" s="26" t="n">
        <x:v>88.14</x:v>
      </x:c>
      <x:c r="AK30" s="26" t="n">
        <x:f>AJ30-AI30</x:f>
        <x:v>80.97</x:v>
      </x:c>
      <x:c r="AL30" s="24" t="n">
        <x:v>3129.02</x:v>
      </x:c>
      <x:c r="AM30" s="24" t="n">
        <x:v>5273.08</x:v>
      </x:c>
      <x:c r="AN30" s="24" t="n">
        <x:v>10511</x:v>
      </x:c>
      <x:c r="AO30" s="24" t="n">
        <x:v>11231</x:v>
      </x:c>
      <x:c r="AP30" s="24" t="n">
        <x:v>10516.11</x:v>
      </x:c>
      <x:c r="AQ30" s="24" t="n">
        <x:v>11239.33</x:v>
      </x:c>
      <x:c r="AR30" s="22" t="n">
        <x:f>IF(AP30&gt;0,AN30/AP30,"")</x:f>
        <x:v>0.9995140788751734</x:v>
      </x:c>
      <x:c r="AS30" s="22" t="n">
        <x:f>IF(AQ30&gt;0,AO30/AQ30,"")</x:f>
        <x:v>0.999258852618439</x:v>
      </x:c>
      <x:c r="AT30" s="22" t="n">
        <x:f>AS30-AR30</x:f>
        <x:v>-0.0002552262567343533</x:v>
      </x:c>
      <x:c r="AU30" s="28" t="n">
        <x:f>(LN(1+AO30)-LN(1+AN30))/5</x:f>
        <x:v>0.013249877108239971</x:v>
      </x:c>
    </x:row>
    <x:row r="31">
      <x:c r="A31" t="str">
        <x:v>Madagascar</x:v>
      </x:c>
      <x:c r="B31" t="str">
        <x:v>Madagascar</x:v>
      </x:c>
      <x:c r="C31" t="str">
        <x:v>Lagging</x:v>
      </x:c>
      <x:c r="D31" s="24" t="n">
        <x:v>165</x:v>
      </x:c>
      <x:c r="E31" s="24" t="n">
        <x:v>189</x:v>
      </x:c>
      <x:c r="F31" s="24" t="n">
        <x:v>256</x:v>
      </x:c>
      <x:c r="G31" s="24" t="n">
        <x:v>1086</x:v>
      </x:c>
      <x:c r="H31" s="26" t="n">
        <x:v>24.3</x:v>
      </x:c>
      <x:c r="I31" s="26" t="n">
        <x:v>29.1</x:v>
      </x:c>
      <x:c r="J31" s="26" t="n">
        <x:v>54.6</x:v>
      </x:c>
      <x:c r="K31" s="26" t="n">
        <x:v>51.2</x:v>
      </x:c>
      <x:c r="L31" s="26" t="n">
        <x:v>7.9</x:v>
      </x:c>
      <x:c r="M31" s="22" t="n">
        <x:f>IF(D31&gt;0,(F31/D31)^(1/9)-1,"")</x:f>
        <x:v>0.05001405761708</x:v>
      </x:c>
      <x:c r="N31" s="24" t="n">
        <x:f>F31-D31</x:f>
        <x:v>91</x:v>
      </x:c>
      <x:c r="O31" s="22" t="n">
        <x:f>N31/SUM($N$2:$N$55)</x:f>
        <x:v>0.002032838154808444</x:v>
      </x:c>
      <x:c r="P31" t="n">
        <x:f>1+COUNTIF($F$2:$F$55,"&gt;"&amp;F31)</x:f>
        <x:v>28</x:v>
      </x:c>
      <x:c r="Q31" s="28" t="n">
        <x:f>LN(1+F31)</x:f>
        <x:v>5.54907608489522</x:v>
      </x:c>
      <x:c r="R31" s="28" t="n">
        <x:f>LN(1+G31)</x:f>
        <x:v>6.99117688712121</x:v>
      </x:c>
      <x:c r="S31" s="28" t="n">
        <x:f>O31</x:f>
        <x:v>0.002032838154808444</x:v>
      </x:c>
      <x:c r="T31" s="28" t="n">
        <x:f>I31/100</x:f>
        <x:v>0.29100000000000004</x:v>
      </x:c>
      <x:c r="U31" s="28" t="n">
        <x:f>K31/100</x:f>
        <x:v>0.512</x:v>
      </x:c>
      <x:c r="V31" s="28" t="n">
        <x:f>LN(1+L31)</x:f>
        <x:v>2.186051276738094</x:v>
      </x:c>
      <x:c r="W31" s="28" t="n">
        <x:f>(LN(1+F31)-LN(1+D31))/9</x:f>
        <x:v>0.04856536628207516</x:v>
      </x:c>
      <x:c r="X31" s="28" t="n">
        <x:f>(LN(1+F31)-LN(1+E31))/4</x:f>
        <x:v>0.07551300318368348</x:v>
      </x:c>
      <x:c r="Y31" s="28" t="n">
        <x:f>I31-H31</x:f>
        <x:v>4.800000000000001</x:v>
      </x:c>
      <x:c r="Z31" s="28" t="n">
        <x:f>K31-J31</x:f>
        <x:v>-3.3999999999999986</x:v>
      </x:c>
      <x:c r="AA31" s="26" t="n">
        <x:v>36.5</x:v>
      </x:c>
      <x:c r="AB31" s="26" t="n">
        <x:v>31.04</x:v>
      </x:c>
      <x:c r="AC31" s="26" t="n">
        <x:v>32</x:v>
      </x:c>
      <x:c r="AD31" s="26" t="n">
        <x:v>35.12</x:v>
      </x:c>
      <x:c r="AE31" s="26" t="n">
        <x:v>36.15</x:v>
      </x:c>
      <x:c r="AF31" s="26" t="n">
        <x:v>39.35</x:v>
      </x:c>
      <x:c r="AG31" s="26" t="n">
        <x:f>AF31-AA31</x:f>
        <x:v>2.8500000000000014</x:v>
      </x:c>
      <x:c r="AH31" s="26" t="n">
        <x:v>18.16</x:v>
      </x:c>
      <x:c r="AI31" s="26" t="n">
        <x:v>14.62</x:v>
      </x:c>
      <x:c r="AJ31" s="26" t="n">
        <x:v>75.61</x:v>
      </x:c>
      <x:c r="AK31" s="26" t="n">
        <x:f>AJ31-AI31</x:f>
        <x:v>60.99</x:v>
      </x:c>
      <x:c r="AL31" s="24" t="n">
        <x:v>56.61</x:v>
      </x:c>
      <x:c r="AM31" s="24" t="n">
        <x:v>79.06</x:v>
      </x:c>
      <x:c r="AN31" s="24" t="n">
        <x:v>622</x:v>
      </x:c>
      <x:c r="AO31" s="24" t="n">
        <x:v>623.6</x:v>
      </x:c>
      <x:c r="AP31" s="24" t="n">
        <x:v>808.32</x:v>
      </x:c>
      <x:c r="AQ31" s="24" t="n">
        <x:v>874.6</x:v>
      </x:c>
      <x:c r="AR31" s="22" t="n">
        <x:f>IF(AP31&gt;0,AN31/AP31,"")</x:f>
        <x:v>0.7694972288202692</x:v>
      </x:c>
      <x:c r="AS31" s="22" t="n">
        <x:f>IF(AQ31&gt;0,AO31/AQ31,"")</x:f>
        <x:v>0.7130116624742739</x:v>
      </x:c>
      <x:c r="AT31" s="22" t="n">
        <x:f>AS31-AR31</x:f>
        <x:v>-0.05648556634599522</x:v>
      </x:c>
      <x:c r="AU31" s="28" t="n">
        <x:f>(LN(1+AO31)-LN(1+AN31))/5</x:f>
        <x:v>0.0005129852123049617</x:v>
      </x:c>
    </x:row>
    <x:row r="32">
      <x:c r="A32" t="str">
        <x:v>Malawi</x:v>
      </x:c>
      <x:c r="B32" t="str">
        <x:v>Malawi</x:v>
      </x:c>
      <x:c r="C32" t="str">
        <x:v>Lagging</x:v>
      </x:c>
      <x:c r="D32" s="24" t="n">
        <x:v>392</x:v>
      </x:c>
      <x:c r="E32" s="24" t="n">
        <x:v>475</x:v>
      </x:c>
      <x:c r="F32" s="24" t="n">
        <x:v>516</x:v>
      </x:c>
      <x:c r="G32" s="24" t="n">
        <x:v>1748</x:v>
      </x:c>
      <x:c r="H32" s="26" t="n">
        <x:v>91.6</x:v>
      </x:c>
      <x:c r="I32" s="26" t="n">
        <x:v>79.6</x:v>
      </x:c>
      <x:c r="J32" s="26" t="n">
        <x:v>96.8</x:v>
      </x:c>
      <x:c r="K32" s="26" t="n">
        <x:v>79</x:v>
      </x:c>
      <x:c r="L32" s="26" t="n">
        <x:v>24</x:v>
      </x:c>
      <x:c r="M32" s="22" t="n">
        <x:f>IF(D32&gt;0,(F32/D32)^(1/9)-1,"")</x:f>
        <x:v>0.031009402806143838</x:v>
      </x:c>
      <x:c r="N32" s="24" t="n">
        <x:f>F32-D32</x:f>
        <x:v>124</x:v>
      </x:c>
      <x:c r="O32" s="22" t="n">
        <x:f>N32/SUM($N$2:$N$55)</x:f>
        <x:v>0.002770021221936781</x:v>
      </x:c>
      <x:c r="P32" t="n">
        <x:f>1+COUNTIF($F$2:$F$55,"&gt;"&amp;F32)</x:f>
        <x:v>24</x:v>
      </x:c>
      <x:c r="Q32" s="28" t="n">
        <x:f>LN(1+F32)</x:f>
        <x:v>6.248042874508429</x:v>
      </x:c>
      <x:c r="R32" s="28" t="n">
        <x:f>LN(1+G32)</x:f>
        <x:v>7.466799475018602</x:v>
      </x:c>
      <x:c r="S32" s="28" t="n">
        <x:f>O32</x:f>
        <x:v>0.002770021221936781</x:v>
      </x:c>
      <x:c r="T32" s="28" t="n">
        <x:f>I32/100</x:f>
        <x:v>0.7959999999999999</x:v>
      </x:c>
      <x:c r="U32" s="28" t="n">
        <x:f>K32/100</x:f>
        <x:v>0.79</x:v>
      </x:c>
      <x:c r="V32" s="28" t="n">
        <x:f>LN(1+L32)</x:f>
        <x:v>3.2188758248682006</x:v>
      </x:c>
      <x:c r="W32" s="28" t="n">
        <x:f>(LN(1+F32)-LN(1+D32))/9</x:f>
        <x:v>0.030470362515463104</x:v>
      </x:c>
      <x:c r="X32" s="28" t="n">
        <x:f>(LN(1+F32)-LN(1+E32))/4</x:f>
        <x:v>0.020656255069252172</x:v>
      </x:c>
      <x:c r="Y32" s="28" t="n">
        <x:f>I32-H32</x:f>
        <x:v>-12</x:v>
      </x:c>
      <x:c r="Z32" s="28" t="n">
        <x:f>K32-J32</x:f>
        <x:v>-17.799999999999997</x:v>
      </x:c>
      <x:c r="AA32" s="26" t="n">
        <x:v>18.02</x:v>
      </x:c>
      <x:c r="AB32" s="26" t="n">
        <x:v>11.2</x:v>
      </x:c>
      <x:c r="AC32" s="26" t="n">
        <x:v>11.5</x:v>
      </x:c>
      <x:c r="AD32" s="26" t="n">
        <x:v>14.19</x:v>
      </x:c>
      <x:c r="AE32" s="26" t="n">
        <x:v>13.98</x:v>
      </x:c>
      <x:c r="AF32" s="26" t="n">
        <x:v>15.58</x:v>
      </x:c>
      <x:c r="AG32" s="26" t="n">
        <x:f>AF32-AA32</x:f>
        <x:v>-2.4399999999999995</x:v>
      </x:c>
      <x:c r="AH32" s="26" t="n">
        <x:v>18.61</x:v>
      </x:c>
      <x:c r="AI32" s="26" t="n">
        <x:v>6.15</x:v>
      </x:c>
      <x:c r="AJ32" s="26" t="n">
        <x:v>57.77</x:v>
      </x:c>
      <x:c r="AK32" s="26" t="n">
        <x:f>AJ32-AI32</x:f>
        <x:v>51.620000000000005</x:v>
      </x:c>
      <x:c r="AL32" s="24" t="n">
        <x:v>78.23</x:v>
      </x:c>
      <x:c r="AM32" s="24" t="n">
        <x:v>97.19</x:v>
      </x:c>
      <x:c r="AN32" s="24" t="n">
        <x:v>120.27</x:v>
      </x:c>
      <x:c r="AO32" s="24" t="n">
        <x:v>132.1</x:v>
      </x:c>
      <x:c r="AP32" s="24" t="n">
        <x:v>515.48</x:v>
      </x:c>
      <x:c r="AQ32" s="24" t="n">
        <x:v>652.53</x:v>
      </x:c>
      <x:c r="AR32" s="22" t="n">
        <x:f>IF(AP32&gt;0,AN32/AP32,"")</x:f>
        <x:v>0.23331652052455962</x:v>
      </x:c>
      <x:c r="AS32" s="22" t="n">
        <x:f>IF(AQ32&gt;0,AO32/AQ32,"")</x:f>
        <x:v>0.20244279956477096</x:v>
      </x:c>
      <x:c r="AT32" s="22" t="n">
        <x:f>AS32-AR32</x:f>
        <x:v>-0.03087372095978866</x:v>
      </x:c>
      <x:c r="AU32" s="28" t="n">
        <x:f>(LN(1+AO32)-LN(1+AN32))/5</x:f>
        <x:v>0.018616252146473222</x:v>
      </x:c>
    </x:row>
    <x:row r="33">
      <x:c r="A33" t="str">
        <x:v>Mali</x:v>
      </x:c>
      <x:c r="B33" t="str">
        <x:v>Mali</x:v>
      </x:c>
      <x:c r="C33" t="str">
        <x:v>Lagging</x:v>
      </x:c>
      <x:c r="D33" s="24" t="n">
        <x:v>328</x:v>
      </x:c>
      <x:c r="E33" s="24" t="n">
        <x:v>449</x:v>
      </x:c>
      <x:c r="F33" s="24" t="n">
        <x:v>633</x:v>
      </x:c>
      <x:c r="G33" s="24" t="n">
        <x:v>1150</x:v>
      </x:c>
      <x:c r="H33" s="26" t="n">
        <x:v>43.9</x:v>
      </x:c>
      <x:c r="I33" s="26" t="n">
        <x:v>50.9</x:v>
      </x:c>
      <x:c r="J33" s="26" t="n">
        <x:v>67.1</x:v>
      </x:c>
      <x:c r="K33" s="26" t="n">
        <x:v>58.7</x:v>
      </x:c>
      <x:c r="L33" s="26" t="n">
        <x:v>25.9</x:v>
      </x:c>
      <x:c r="M33" s="22" t="n">
        <x:f>IF(D33&gt;0,(F33/D33)^(1/9)-1,"")</x:f>
        <x:v>0.07578513924612484</x:v>
      </x:c>
      <x:c r="N33" s="24" t="n">
        <x:f>F33-D33</x:f>
        <x:v>305</x:v>
      </x:c>
      <x:c r="O33" s="22" t="n">
        <x:f>N33/SUM($N$2:$N$55)</x:f>
        <x:v>0.006813358650731598</x:v>
      </x:c>
      <x:c r="P33" t="n">
        <x:f>1+COUNTIF($F$2:$F$55,"&gt;"&amp;F33)</x:f>
        <x:v>21</x:v>
      </x:c>
      <x:c r="Q33" s="28" t="n">
        <x:f>LN(1+F33)</x:f>
        <x:v>6.452048954437226</x:v>
      </x:c>
      <x:c r="R33" s="28" t="n">
        <x:f>LN(1+G33)</x:f>
        <x:v>7.048386408721883</x:v>
      </x:c>
      <x:c r="S33" s="28" t="n">
        <x:f>O33</x:f>
        <x:v>0.006813358650731598</x:v>
      </x:c>
      <x:c r="T33" s="28" t="n">
        <x:f>I33/100</x:f>
        <x:v>0.509</x:v>
      </x:c>
      <x:c r="U33" s="28" t="n">
        <x:f>K33/100</x:f>
        <x:v>0.5870000000000001</x:v>
      </x:c>
      <x:c r="V33" s="28" t="n">
        <x:f>LN(1+L33)</x:f>
        <x:v>3.292126286607793</x:v>
      </x:c>
      <x:c r="W33" s="28" t="n">
        <x:f>(LN(1+F33)-LN(1+D33))/9</x:f>
        <x:v>0.07288791151909486</x:v>
      </x:c>
      <x:c r="X33" s="28" t="n">
        <x:f>(LN(1+F33)-LN(1+E33))/4</x:f>
        <x:v>0.08570034291821504</x:v>
      </x:c>
      <x:c r="Y33" s="28" t="n">
        <x:f>I33-H33</x:f>
        <x:v>7</x:v>
      </x:c>
      <x:c r="Z33" s="28" t="n">
        <x:f>K33-J33</x:f>
        <x:v>-8.399999999999991</x:v>
      </x:c>
      <x:c r="AA33" s="26" t="n">
        <x:v>50.9</x:v>
      </x:c>
      <x:c r="AB33" s="26" t="n">
        <x:v>47.85</x:v>
      </x:c>
      <x:c r="AC33" s="26" t="n">
        <x:v>50.64</x:v>
      </x:c>
      <x:c r="AD33" s="26" t="n">
        <x:v>53.38</x:v>
      </x:c>
      <x:c r="AE33" s="26" t="n">
        <x:v>53</x:v>
      </x:c>
      <x:c r="AF33" s="26" t="n">
        <x:v>54.47</x:v>
      </x:c>
      <x:c r="AG33" s="26" t="n">
        <x:f>AF33-AA33</x:f>
        <x:v>3.5700000000000003</x:v>
      </x:c>
      <x:c r="AH33" s="26" t="n">
        <x:v>10.09</x:v>
      </x:c>
      <x:c r="AI33" s="26" t="n">
        <x:v>22.67</x:v>
      </x:c>
      <x:c r="AJ33" s="26" t="n">
        <x:v>91.51</x:v>
      </x:c>
      <x:c r="AK33" s="26" t="n">
        <x:f>AJ33-AI33</x:f>
        <x:v>68.84</x:v>
      </x:c>
      <x:c r="AL33" s="24" t="n">
        <x:v>342.59</x:v>
      </x:c>
      <x:c r="AM33" s="24" t="n">
        <x:v>279.93</x:v>
      </x:c>
      <x:c r="AN33" s="24" t="n">
        <x:v>458.9</x:v>
      </x:c>
      <x:c r="AO33" s="24" t="n">
        <x:v>609.6</x:v>
      </x:c>
      <x:c r="AP33" s="24" t="n">
        <x:v>824.93</x:v>
      </x:c>
      <x:c r="AQ33" s="24" t="n">
        <x:v>1202.6</x:v>
      </x:c>
      <x:c r="AR33" s="22" t="n">
        <x:f>IF(AP33&gt;0,AN33/AP33,"")</x:f>
        <x:v>0.5562896245742063</x:v>
      </x:c>
      <x:c r="AS33" s="22" t="n">
        <x:f>IF(AQ33&gt;0,AO33/AQ33,"")</x:f>
        <x:v>0.5069017129552637</x:v>
      </x:c>
      <x:c r="AT33" s="22" t="n">
        <x:f>AS33-AR33</x:f>
        <x:v>-0.049387911618942626</x:v>
      </x:c>
      <x:c r="AU33" s="28" t="n">
        <x:f>(LN(1+AO33)-LN(1+AN33))/5</x:f>
        <x:v>0.05668660115097986</x:v>
      </x:c>
    </x:row>
    <x:row r="34">
      <x:c r="A34" t="str">
        <x:v>Mauritania</x:v>
      </x:c>
      <x:c r="B34" t="str">
        <x:v>Mauritania</x:v>
      </x:c>
      <x:c r="C34" t="str">
        <x:v>Balancing</x:v>
      </x:c>
      <x:c r="D34" s="24" t="n">
        <x:v>69</x:v>
      </x:c>
      <x:c r="E34" s="24" t="n">
        <x:v>122</x:v>
      </x:c>
      <x:c r="F34" s="24" t="n">
        <x:v>306</x:v>
      </x:c>
      <x:c r="G34" s="24" t="n">
        <x:v>484</x:v>
      </x:c>
      <x:c r="H34" s="26" t="n">
        <x:v>14.3</x:v>
      </x:c>
      <x:c r="I34" s="26" t="n">
        <x:v>36.4</x:v>
      </x:c>
      <x:c r="J34" s="26" t="n">
        <x:v>17.8</x:v>
      </x:c>
      <x:c r="K34" s="26" t="n">
        <x:v>28.3</x:v>
      </x:c>
      <x:c r="L34" s="26" t="n">
        <x:v>56.8</x:v>
      </x:c>
      <x:c r="M34" s="22" t="n">
        <x:f>IF(D34&gt;0,(F34/D34)^(1/9)-1,"")</x:f>
        <x:v>0.17998015663876155</x:v>
      </x:c>
      <x:c r="N34" s="24" t="n">
        <x:f>F34-D34</x:f>
        <x:v>237</x:v>
      </x:c>
      <x:c r="O34" s="22" t="n">
        <x:f>N34/SUM($N$2:$N$55)</x:f>
        <x:v>0.0052943147548307826</x:v>
      </x:c>
      <x:c r="P34" t="n">
        <x:f>1+COUNTIF($F$2:$F$55,"&gt;"&amp;F34)</x:f>
        <x:v>27</x:v>
      </x:c>
      <x:c r="Q34" s="28" t="n">
        <x:f>LN(1+F34)</x:f>
        <x:v>5.726847747587197</x:v>
      </x:c>
      <x:c r="R34" s="28" t="n">
        <x:f>LN(1+G34)</x:f>
        <x:v>6.184148890937483</x:v>
      </x:c>
      <x:c r="S34" s="28" t="n">
        <x:f>O34</x:f>
        <x:v>0.0052943147548307826</x:v>
      </x:c>
      <x:c r="T34" s="28" t="n">
        <x:f>I34/100</x:f>
        <x:v>0.364</x:v>
      </x:c>
      <x:c r="U34" s="28" t="n">
        <x:f>K34/100</x:f>
        <x:v>0.28300000000000003</x:v>
      </x:c>
      <x:c r="V34" s="28" t="n">
        <x:f>LN(1+L34)</x:f>
        <x:v>4.056988775678332</x:v>
      </x:c>
      <x:c r="W34" s="28" t="n">
        <x:f>(LN(1+F34)-LN(1+D34))/9</x:f>
        <x:v>0.16426138950420416</x:v>
      </x:c>
      <x:c r="X34" s="28" t="n">
        <x:f>(LN(1+F34)-LN(1+E34))/4</x:f>
        <x:v>0.22866584805369494</x:v>
      </x:c>
      <x:c r="Y34" s="28" t="n">
        <x:f>I34-H34</x:f>
        <x:v>22.099999999999998</x:v>
      </x:c>
      <x:c r="Z34" s="28" t="n">
        <x:f>K34-J34</x:f>
        <x:v>10.5</x:v>
      </x:c>
      <x:c r="AA34" s="26" t="n">
        <x:v>43.59</x:v>
      </x:c>
      <x:c r="AB34" s="26" t="n">
        <x:v>44.95</x:v>
      </x:c>
      <x:c r="AC34" s="26" t="n">
        <x:v>45.4</x:v>
      </x:c>
      <x:c r="AD34" s="26" t="n">
        <x:v>47.7</x:v>
      </x:c>
      <x:c r="AE34" s="26" t="n">
        <x:v>49.04</x:v>
      </x:c>
      <x:c r="AF34" s="26" t="n">
        <x:v>50.26</x:v>
      </x:c>
      <x:c r="AG34" s="26" t="n">
        <x:f>AF34-AA34</x:f>
        <x:v>6.669999999999995</x:v>
      </x:c>
      <x:c r="AH34" s="26" t="n">
        <x:v>2.57</x:v>
      </x:c>
      <x:c r="AI34" s="26" t="n">
        <x:v>3.82</x:v>
      </x:c>
      <x:c r="AJ34" s="26" t="n">
        <x:v>84.3</x:v>
      </x:c>
      <x:c r="AK34" s="26" t="n">
        <x:f>AJ34-AI34</x:f>
        <x:v>80.48</x:v>
      </x:c>
      <x:c r="AL34" s="24" t="n">
        <x:v>265.89</x:v>
      </x:c>
      <x:c r="AM34" s="24" t="n">
        <x:v>343.76</x:v>
      </x:c>
      <x:c r="AN34" s="24" t="n">
        <x:v>449.75</x:v>
      </x:c>
      <x:c r="AO34" s="24" t="n">
        <x:v>504.63</x:v>
      </x:c>
      <x:c r="AP34" s="24" t="n">
        <x:v>571</x:v>
      </x:c>
      <x:c r="AQ34" s="24" t="n">
        <x:v>764.41</x:v>
      </x:c>
      <x:c r="AR34" s="22" t="n">
        <x:f>IF(AP34&gt;0,AN34/AP34,"")</x:f>
        <x:v>0.7876532399299475</x:v>
      </x:c>
      <x:c r="AS34" s="22" t="n">
        <x:f>IF(AQ34&gt;0,AO34/AQ34,"")</x:f>
        <x:v>0.6601561988984969</x:v>
      </x:c>
      <x:c r="AT34" s="22" t="n">
        <x:f>AS34-AR34</x:f>
        <x:v>-0.12749704103145065</x:v>
      </x:c>
      <x:c r="AU34" s="28" t="n">
        <x:f>(LN(1+AO34)-LN(1+AN34))/5</x:f>
        <x:v>0.022978462886396222</x:v>
      </x:c>
    </x:row>
    <x:row r="35">
      <x:c r="A35" t="str">
        <x:v>Mauritius</x:v>
      </x:c>
      <x:c r="B35" t="str">
        <x:v>Mauritius</x:v>
      </x:c>
      <x:c r="C35" t="str">
        <x:v>Lagging</x:v>
      </x:c>
      <x:c r="D35" s="24" t="n">
        <x:v>187</x:v>
      </x:c>
      <x:c r="E35" s="24" t="n">
        <x:v>279</x:v>
      </x:c>
      <x:c r="F35" s="24" t="n">
        <x:v>318</x:v>
      </x:c>
      <x:c r="G35" s="24" t="n">
        <x:v>622</x:v>
      </x:c>
      <x:c r="H35" s="26" t="n">
        <x:v>22.6</x:v>
      </x:c>
      <x:c r="I35" s="26" t="n">
        <x:v>33.2</x:v>
      </x:c>
      <x:c r="J35" s="26" t="n">
        <x:v>21.8</x:v>
      </x:c>
      <x:c r="K35" s="26" t="n">
        <x:v>18.2</x:v>
      </x:c>
      <x:c r="L35" s="26" t="n">
        <x:v>237.5</x:v>
      </x:c>
      <x:c r="M35" s="22" t="n">
        <x:f>IF(D35&gt;0,(F35/D35)^(1/9)-1,"")</x:f>
        <x:v>0.06076849492949066</x:v>
      </x:c>
      <x:c r="N35" s="24" t="n">
        <x:f>F35-D35</x:f>
        <x:v>131</x:v>
      </x:c>
      <x:c r="O35" s="22" t="n">
        <x:f>N35/SUM($N$2:$N$55)</x:f>
        <x:v>0.002926393387691277</x:v>
      </x:c>
      <x:c r="P35" t="n">
        <x:f>1+COUNTIF($F$2:$F$55,"&gt;"&amp;F35)</x:f>
        <x:v>26</x:v>
      </x:c>
      <x:c r="Q35" s="28" t="n">
        <x:f>LN(1+F35)</x:f>
        <x:v>5.765191102784844</x:v>
      </x:c>
      <x:c r="R35" s="28" t="n">
        <x:f>LN(1+G35)</x:f>
        <x:v>6.434546518787453</x:v>
      </x:c>
      <x:c r="S35" s="28" t="n">
        <x:f>O35</x:f>
        <x:v>0.002926393387691277</x:v>
      </x:c>
      <x:c r="T35" s="28" t="n">
        <x:f>I35/100</x:f>
        <x:v>0.332</x:v>
      </x:c>
      <x:c r="U35" s="28" t="n">
        <x:f>K35/100</x:f>
        <x:v>0.182</x:v>
      </x:c>
      <x:c r="V35" s="28" t="n">
        <x:f>LN(1+L35)</x:f>
        <x:v>5.474369310328396</x:v>
      </x:c>
      <x:c r="W35" s="28" t="n">
        <x:f>(LN(1+F35)-LN(1+D35))/9</x:f>
        <x:v>0.058749904439432794</x:v>
      </x:c>
      <x:c r="X35" s="28" t="n">
        <x:f>(LN(1+F35)-LN(1+E35))/4</x:f>
        <x:v>0.03260037490389878</x:v>
      </x:c>
      <x:c r="Y35" s="28" t="n">
        <x:f>I35-H35</x:f>
        <x:v>10.600000000000001</x:v>
      </x:c>
      <x:c r="Z35" s="28" t="n">
        <x:f>K35-J35</x:f>
        <x:v>-3.6000000000000014</x:v>
      </x:c>
      <x:c r="AA35" s="26" t="n">
        <x:v>99.79</x:v>
      </x:c>
      <x:c r="AB35" s="26" t="n">
        <x:v>100</x:v>
      </x:c>
      <x:c r="AC35" s="26" t="n">
        <x:v>99.46</x:v>
      </x:c>
      <x:c r="AD35" s="26" t="n">
        <x:v>99.6</x:v>
      </x:c>
      <x:c r="AE35" s="26" t="n">
        <x:v>100</x:v>
      </x:c>
      <x:c r="AF35" s="26" t="n">
        <x:v>100</x:v>
      </x:c>
      <x:c r="AG35" s="26" t="n">
        <x:f>AF35-AA35</x:f>
        <x:v>0.20999999999999375</x:v>
      </x:c>
      <x:c r="AH35" s="26" t="n">
        <x:v>0</x:v>
      </x:c>
      <x:c r="AI35" s="26" t="n">
        <x:v>100</x:v>
      </x:c>
      <x:c r="AJ35" s="26" t="n">
        <x:v>100</x:v>
      </x:c>
      <x:c r="AK35" s="26" t="n">
        <x:f>AJ35-AI35</x:f>
        <x:v>0</x:v>
      </x:c>
      <x:c r="AL35" s="24" t="n">
        <x:v>2352.42</x:v>
      </x:c>
      <x:c r="AM35" s="24" t="n">
        <x:v>1679.28</x:v>
      </x:c>
      <x:c r="AN35" s="24" t="n">
        <x:v>640</x:v>
      </x:c>
      <x:c r="AO35" s="24" t="n">
        <x:v>639.6</x:v>
      </x:c>
      <x:c r="AP35" s="24" t="n">
        <x:v>878.04</x:v>
      </x:c>
      <x:c r="AQ35" s="24" t="n">
        <x:v>927.69</x:v>
      </x:c>
      <x:c r="AR35" s="22" t="n">
        <x:f>IF(AP35&gt;0,AN35/AP35,"")</x:f>
        <x:v>0.7288961778506674</x:v>
      </x:c>
      <x:c r="AS35" s="22" t="n">
        <x:f>IF(AQ35&gt;0,AO35/AQ35,"")</x:f>
        <x:v>0.6894544513792322</x:v>
      </x:c>
      <x:c r="AT35" s="22" t="n">
        <x:f>AS35-AR35</x:f>
        <x:v>-0.03944172647143518</x:v>
      </x:c>
      <x:c r="AU35" s="28" t="n">
        <x:f>(LN(1+AO35)-LN(1+AN35))/5</x:f>
        <x:v>-0.0001248439491224218</x:v>
      </x:c>
    </x:row>
    <x:row r="36">
      <x:c r="A36" t="str">
        <x:v>Morocco</x:v>
      </x:c>
      <x:c r="B36" t="str">
        <x:v>Morocco</x:v>
      </x:c>
      <x:c r="C36" t="str">
        <x:v>Leading</x:v>
      </x:c>
      <x:c r="D36" s="24" t="n">
        <x:v>2417</x:v>
      </x:c>
      <x:c r="E36" s="24" t="n">
        <x:v>3638</x:v>
      </x:c>
      <x:c r="F36" s="24" t="n">
        <x:v>4851</x:v>
      </x:c>
      <x:c r="G36" s="24" t="n">
        <x:v>10478</x:v>
      </x:c>
      <x:c r="H36" s="26" t="n">
        <x:v>28.9</x:v>
      </x:c>
      <x:c r="I36" s="26" t="n">
        <x:v>39.6</x:v>
      </x:c>
      <x:c r="J36" s="26" t="n">
        <x:v>15.3</x:v>
      </x:c>
      <x:c r="K36" s="26" t="n">
        <x:v>24.5</x:v>
      </x:c>
      <x:c r="L36" s="26" t="n">
        <x:v>122.3</x:v>
      </x:c>
      <x:c r="M36" s="22" t="n">
        <x:f>IF(D36&gt;0,(F36/D36)^(1/9)-1,"")</x:f>
        <x:v>0.08048111480888709</x:v>
      </x:c>
      <x:c r="N36" s="24" t="n">
        <x:f>F36-D36</x:f>
        <x:v>2434</x:v>
      </x:c>
      <x:c r="O36" s="22" t="n">
        <x:f>N36/SUM($N$2:$N$55)</x:f>
        <x:v>0.05437283592092036</x:v>
      </x:c>
      <x:c r="P36" t="n">
        <x:f>1+COUNTIF($F$2:$F$55,"&gt;"&amp;F36)</x:f>
        <x:v>4</x:v>
      </x:c>
      <x:c r="Q36" s="28" t="n">
        <x:f>LN(1+F36)</x:f>
        <x:v>8.48714627006394</x:v>
      </x:c>
      <x:c r="R36" s="28" t="n">
        <x:f>LN(1+G36)</x:f>
        <x:v>9.257128533474942</x:v>
      </x:c>
      <x:c r="S36" s="28" t="n">
        <x:f>O36</x:f>
        <x:v>0.05437283592092036</x:v>
      </x:c>
      <x:c r="T36" s="28" t="n">
        <x:f>I36/100</x:f>
        <x:v>0.396</x:v>
      </x:c>
      <x:c r="U36" s="28" t="n">
        <x:f>K36/100</x:f>
        <x:v>0.245</x:v>
      </x:c>
      <x:c r="V36" s="28" t="n">
        <x:f>LN(1+L36)</x:f>
        <x:v>4.814620410170298</x:v>
      </x:c>
      <x:c r="W36" s="28" t="n">
        <x:f>(LN(1+F36)-LN(1+D36))/9</x:f>
        <x:v>0.07738335987657802</x:v>
      </x:c>
      <x:c r="X36" s="28" t="n">
        <x:f>(LN(1+F36)-LN(1+E36))/4</x:f>
        <x:v>0.07192051811294498</x:v>
      </x:c>
      <x:c r="Y36" s="28" t="n">
        <x:f>I36-H36</x:f>
        <x:v>10.700000000000003</x:v>
      </x:c>
      <x:c r="Z36" s="28" t="n">
        <x:f>K36-J36</x:f>
        <x:v>9.2</x:v>
      </x:c>
      <x:c r="AA36" s="26" t="n">
        <x:v>98.1</x:v>
      </x:c>
      <x:c r="AB36" s="26" t="n">
        <x:v>99.6</x:v>
      </x:c>
      <x:c r="AC36" s="26" t="n">
        <x:v>100</x:v>
      </x:c>
      <x:c r="AD36" s="26" t="n">
        <x:v>100</x:v>
      </x:c>
      <x:c r="AE36" s="26" t="n">
        <x:v>100</x:v>
      </x:c>
      <x:c r="AF36" s="26" t="n">
        <x:v>100</x:v>
      </x:c>
      <x:c r="AG36" s="26" t="n">
        <x:f>AF36-AA36</x:f>
        <x:v>1.9000000000000057</x:v>
      </x:c>
      <x:c r="AH36" s="26" t="n">
        <x:v>0</x:v>
      </x:c>
      <x:c r="AI36" s="26" t="n">
        <x:v>100</x:v>
      </x:c>
      <x:c r="AJ36" s="26" t="n">
        <x:v>100</x:v>
      </x:c>
      <x:c r="AK36" s="26" t="n">
        <x:f>AJ36-AI36</x:f>
        <x:v>0</x:v>
      </x:c>
      <x:c r="AL36" s="24" t="n">
        <x:v>974.5</x:v>
      </x:c>
      <x:c r="AM36" s="24" t="n">
        <x:v>347.9</x:v>
      </x:c>
      <x:c r="AN36" s="24" t="n">
        <x:v>7237</x:v>
      </x:c>
      <x:c r="AO36" s="24" t="n">
        <x:v>6802</x:v>
      </x:c>
      <x:c r="AP36" s="24" t="n">
        <x:v>10972.83</x:v>
      </x:c>
      <x:c r="AQ36" s="24" t="n">
        <x:v>11508.93</x:v>
      </x:c>
      <x:c r="AR36" s="22" t="n">
        <x:f>IF(AP36&gt;0,AN36/AP36,"")</x:f>
        <x:v>0.6595381501399366</x:v>
      </x:c>
      <x:c r="AS36" s="22" t="n">
        <x:f>IF(AQ36&gt;0,AO36/AQ36,"")</x:f>
        <x:v>0.5910193215181603</x:v>
      </x:c>
      <x:c r="AT36" s="22" t="n">
        <x:f>AS36-AR36</x:f>
        <x:v>-0.06851882862177627</x:v>
      </x:c>
      <x:c r="AU36" s="28" t="n">
        <x:f>(LN(1+AO36)-LN(1+AN36))/5</x:f>
        <x:v>-0.012396246755725215</x:v>
      </x:c>
    </x:row>
    <x:row r="37">
      <x:c r="A37" t="str">
        <x:v>Mozambique</x:v>
      </x:c>
      <x:c r="B37" t="str">
        <x:v>Mozambique</x:v>
      </x:c>
      <x:c r="C37" t="str">
        <x:v>Balancing</x:v>
      </x:c>
      <x:c r="D37" s="24" t="n">
        <x:v>2270</x:v>
      </x:c>
      <x:c r="E37" s="24" t="n">
        <x:v>2332</x:v>
      </x:c>
      <x:c r="F37" s="24" t="n">
        <x:v>2444</x:v>
      </x:c>
      <x:c r="G37" s="24" t="n">
        <x:v>16604</x:v>
      </x:c>
      <x:c r="H37" s="26" t="n">
        <x:v>79.9</x:v>
      </x:c>
      <x:c r="I37" s="26" t="n">
        <x:v>78.1</x:v>
      </x:c>
      <x:c r="J37" s="26" t="n">
        <x:v>95.8</x:v>
      </x:c>
      <x:c r="K37" s="26" t="n">
        <x:v>84.4</x:v>
      </x:c>
      <x:c r="L37" s="26" t="n">
        <x:v>68.6</x:v>
      </x:c>
      <x:c r="M37" s="22" t="n">
        <x:f>IF(D37&gt;0,(F37/D37)^(1/9)-1,"")</x:f>
        <x:v>0.008240009062077336</x:v>
      </x:c>
      <x:c r="N37" s="24" t="n">
        <x:f>F37-D37</x:f>
        <x:v>174</x:v>
      </x:c>
      <x:c r="O37" s="22" t="n">
        <x:f>N37/SUM($N$2:$N$55)</x:f>
        <x:v>0.0038869652630403218</x:v>
      </x:c>
      <x:c r="P37" t="n">
        <x:f>1+COUNTIF($F$2:$F$55,"&gt;"&amp;F37)</x:f>
        <x:v>11</x:v>
      </x:c>
      <x:c r="Q37" s="28" t="n">
        <x:f>LN(1+F37)</x:f>
        <x:v>7.801800401908973</x:v>
      </x:c>
      <x:c r="R37" s="28" t="n">
        <x:f>LN(1+G37)</x:f>
        <x:v>9.717459133810847</x:v>
      </x:c>
      <x:c r="S37" s="28" t="n">
        <x:f>O37</x:f>
        <x:v>0.0038869652630403218</x:v>
      </x:c>
      <x:c r="T37" s="28" t="n">
        <x:f>I37/100</x:f>
        <x:v>0.7809999999999999</x:v>
      </x:c>
      <x:c r="U37" s="28" t="n">
        <x:f>K37/100</x:f>
        <x:v>0.8440000000000001</x:v>
      </x:c>
      <x:c r="V37" s="28" t="n">
        <x:f>LN(1+L37)</x:f>
        <x:v>4.242764567340374</x:v>
      </x:c>
      <x:c r="W37" s="28" t="n">
        <x:f>(LN(1+F37)-LN(1+D37))/9</x:f>
        <x:v>0.008202762200379373</x:v>
      </x:c>
      <x:c r="X37" s="28" t="n">
        <x:f>(LN(1+F37)-LN(1+E37))/4</x:f>
        <x:v>0.011722532471885705</x:v>
      </x:c>
      <x:c r="Y37" s="28" t="n">
        <x:f>I37-H37</x:f>
        <x:v>-1.8000000000000114</x:v>
      </x:c>
      <x:c r="Z37" s="28" t="n">
        <x:f>K37-J37</x:f>
        <x:v>-11.399999999999991</x:v>
      </x:c>
      <x:c r="AA37" s="26" t="n">
        <x:v>31.1</x:v>
      </x:c>
      <x:c r="AB37" s="26" t="n">
        <x:v>29.69</x:v>
      </x:c>
      <x:c r="AC37" s="26" t="n">
        <x:v>30.61</x:v>
      </x:c>
      <x:c r="AD37" s="26" t="n">
        <x:v>31.49</x:v>
      </x:c>
      <x:c r="AE37" s="26" t="n">
        <x:v>33.22</x:v>
      </x:c>
      <x:c r="AF37" s="26" t="n">
        <x:v>36.01</x:v>
      </x:c>
      <x:c r="AG37" s="26" t="n">
        <x:f>AF37-AA37</x:f>
        <x:v>4.909999999999997</x:v>
      </x:c>
      <x:c r="AH37" s="26" t="n">
        <x:v>22.48</x:v>
      </x:c>
      <x:c r="AI37" s="26" t="n">
        <x:v>8.87</x:v>
      </x:c>
      <x:c r="AJ37" s="26" t="n">
        <x:v>78.9</x:v>
      </x:c>
      <x:c r="AK37" s="26" t="n">
        <x:f>AJ37-AI37</x:f>
        <x:v>70.03</x:v>
      </x:c>
      <x:c r="AL37" s="24" t="n">
        <x:v>343.91</x:v>
      </x:c>
      <x:c r="AM37" s="24" t="n">
        <x:v>564.32</x:v>
      </x:c>
      <x:c r="AN37" s="24" t="n">
        <x:v>660.44</x:v>
      </x:c>
      <x:c r="AO37" s="24" t="n">
        <x:v>683.84</x:v>
      </x:c>
      <x:c r="AP37" s="24" t="n">
        <x:v>2929.27</x:v>
      </x:c>
      <x:c r="AQ37" s="24" t="n">
        <x:v>3054.84</x:v>
      </x:c>
      <x:c r="AR37" s="22" t="n">
        <x:f>IF(AP37&gt;0,AN37/AP37,"")</x:f>
        <x:v>0.22546231654985716</x:v>
      </x:c>
      <x:c r="AS37" s="22" t="n">
        <x:f>IF(AQ37&gt;0,AO37/AQ37,"")</x:f>
        <x:v>0.22385460449647118</x:v>
      </x:c>
      <x:c r="AT37" s="22" t="n">
        <x:f>AS37-AR37</x:f>
        <x:v>-0.0016077120533859734</x:v>
      </x:c>
      <x:c r="AU37" s="28" t="n">
        <x:f>(LN(1+AO37)-LN(1+AN37))/5</x:f>
        <x:v>0.00695319156864258</x:v>
      </x:c>
    </x:row>
    <x:row r="38">
      <x:c r="A38" t="str">
        <x:v>Namibia</x:v>
      </x:c>
      <x:c r="B38" t="str">
        <x:v>Namibia</x:v>
      </x:c>
      <x:c r="C38" t="str">
        <x:v>Balancing</x:v>
      </x:c>
      <x:c r="D38" s="24" t="n">
        <x:v>374</x:v>
      </x:c>
      <x:c r="E38" s="24" t="n">
        <x:v>549</x:v>
      </x:c>
      <x:c r="F38" s="24" t="n">
        <x:v>747</x:v>
      </x:c>
      <x:c r="G38" s="24" t="n">
        <x:v>2589</x:v>
      </x:c>
      <x:c r="H38" s="26" t="n">
        <x:v>67</x:v>
      </x:c>
      <x:c r="I38" s="26" t="n">
        <x:v>79.2</x:v>
      </x:c>
      <x:c r="J38" s="26" t="n">
        <x:v>89.8</x:v>
      </x:c>
      <x:c r="K38" s="26" t="n">
        <x:v>91.3</x:v>
      </x:c>
      <x:c r="L38" s="26" t="n">
        <x:v>197</x:v>
      </x:c>
      <x:c r="M38" s="22" t="n">
        <x:f>IF(D38&gt;0,(F38/D38)^(1/9)-1,"")</x:f>
        <x:v>0.07989920680283347</x:v>
      </x:c>
      <x:c r="N38" s="24" t="n">
        <x:f>F38-D38</x:f>
        <x:v>373</x:v>
      </x:c>
      <x:c r="O38" s="22" t="n">
        <x:f>N38/SUM($N$2:$N$55)</x:f>
        <x:v>0.008332402546632414</x:v>
      </x:c>
      <x:c r="P38" t="n">
        <x:f>1+COUNTIF($F$2:$F$55,"&gt;"&amp;F38)</x:f>
        <x:v>20</x:v>
      </x:c>
      <x:c r="Q38" s="28" t="n">
        <x:f>LN(1+F38)</x:f>
        <x:v>6.617402977974478</x:v>
      </x:c>
      <x:c r="R38" s="28" t="n">
        <x:f>LN(1+G38)</x:f>
        <x:v>7.859413154693583</x:v>
      </x:c>
      <x:c r="S38" s="28" t="n">
        <x:f>O38</x:f>
        <x:v>0.008332402546632414</x:v>
      </x:c>
      <x:c r="T38" s="28" t="n">
        <x:f>I38/100</x:f>
        <x:v>0.792</x:v>
      </x:c>
      <x:c r="U38" s="28" t="n">
        <x:f>K38/100</x:f>
        <x:v>0.9129999999999999</x:v>
      </x:c>
      <x:c r="V38" s="28" t="n">
        <x:f>LN(1+L38)</x:f>
        <x:v>5.288267030694535</x:v>
      </x:c>
      <x:c r="W38" s="28" t="n">
        <x:f>(LN(1+F38)-LN(1+D38))/9</x:f>
        <x:v>0.07671966133378522</x:v>
      </x:c>
      <x:c r="X38" s="28" t="n">
        <x:f>(LN(1+F38)-LN(1+E38))/4</x:f>
        <x:v>0.07687117493699036</x:v>
      </x:c>
      <x:c r="Y38" s="28" t="n">
        <x:f>I38-H38</x:f>
        <x:v>12.200000000000003</x:v>
      </x:c>
      <x:c r="Z38" s="28" t="n">
        <x:f>K38-J38</x:f>
        <x:v>1.5</x:v>
      </x:c>
      <x:c r="AA38" s="26" t="n">
        <x:v>52.32</x:v>
      </x:c>
      <x:c r="AB38" s="26" t="n">
        <x:v>53.28</x:v>
      </x:c>
      <x:c r="AC38" s="26" t="n">
        <x:v>52.3</x:v>
      </x:c>
      <x:c r="AD38" s="26" t="n">
        <x:v>55.23</x:v>
      </x:c>
      <x:c r="AE38" s="26" t="n">
        <x:v>56.19</x:v>
      </x:c>
      <x:c r="AF38" s="26" t="n">
        <x:v>56.67</x:v>
      </x:c>
      <x:c r="AG38" s="26" t="n">
        <x:f>AF38-AA38</x:f>
        <x:v>4.350000000000001</x:v>
      </x:c>
      <x:c r="AH38" s="26" t="n">
        <x:v>1.24</x:v>
      </x:c>
      <x:c r="AI38" s="26" t="n">
        <x:v>34.37</x:v>
      </x:c>
      <x:c r="AJ38" s="26" t="n">
        <x:v>75</x:v>
      </x:c>
      <x:c r="AK38" s="26" t="n">
        <x:f>AJ38-AI38</x:f>
        <x:v>40.63</x:v>
      </x:c>
      <x:c r="AL38" s="24" t="n">
        <x:v>1415.37</x:v>
      </x:c>
      <x:c r="AM38" s="24" t="n">
        <x:v>623.34</x:v>
      </x:c>
      <x:c r="AN38" s="24" t="n">
        <x:v>184.17</x:v>
      </x:c>
      <x:c r="AO38" s="24" t="n">
        <x:v>193.65</x:v>
      </x:c>
      <x:c r="AP38" s="24" t="n">
        <x:v>661.69</x:v>
      </x:c>
      <x:c r="AQ38" s="24" t="n">
        <x:v>790.69</x:v>
      </x:c>
      <x:c r="AR38" s="22" t="n">
        <x:f>IF(AP38&gt;0,AN38/AP38,"")</x:f>
        <x:v>0.2783327540086747</x:v>
      </x:c>
      <x:c r="AS38" s="22" t="n">
        <x:f>IF(AQ38&gt;0,AO38/AQ38,"")</x:f>
        <x:v>0.24491267121122057</x:v>
      </x:c>
      <x:c r="AT38" s="22" t="n">
        <x:f>AS38-AR38</x:f>
        <x:v>-0.03342008279745412</x:v>
      </x:c>
      <x:c r="AU38" s="28" t="n">
        <x:f>(LN(1+AO38)-LN(1+AN38))/5</x:f>
        <x:v>0.009985750401347993</x:v>
      </x:c>
    </x:row>
    <x:row r="39">
      <x:c r="A39" t="str">
        <x:v>Niger</x:v>
      </x:c>
      <x:c r="B39" t="str">
        <x:v>Niger</x:v>
      </x:c>
      <x:c r="C39" t="str">
        <x:v>Lagging</x:v>
      </x:c>
      <x:c r="D39" s="24" t="n">
        <x:v>7</x:v>
      </x:c>
      <x:c r="E39" s="24" t="n">
        <x:v>15</x:v>
      </x:c>
      <x:c r="F39" s="24" t="n">
        <x:v>83</x:v>
      </x:c>
      <x:c r="G39" s="24" t="n">
        <x:v>83</x:v>
      </x:c>
      <x:c r="H39" s="26" t="n">
        <x:v>2.5</x:v>
      </x:c>
      <x:c r="I39" s="26" t="n">
        <x:v>15.6</x:v>
      </x:c>
      <x:c r="J39" s="26" t="n">
        <x:v>2.3</x:v>
      </x:c>
      <x:c r="K39" s="26" t="n">
        <x:v>6.6</x:v>
      </x:c>
      <x:c r="L39" s="26" t="n">
        <x:v>3.1</x:v>
      </x:c>
      <x:c r="M39" s="22" t="n">
        <x:f>IF(D39&gt;0,(F39/D39)^(1/9)-1,"")</x:f>
        <x:v>0.31622797472175734</x:v>
      </x:c>
      <x:c r="N39" s="24" t="n">
        <x:f>F39-D39</x:f>
        <x:v>76</x:v>
      </x:c>
      <x:c r="O39" s="22" t="n">
        <x:f>N39/SUM($N$2:$N$55)</x:f>
        <x:v>0.0016977549424773818</x:v>
      </x:c>
      <x:c r="P39" t="n">
        <x:f>1+COUNTIF($F$2:$F$55,"&gt;"&amp;F39)</x:f>
        <x:v>41</x:v>
      </x:c>
      <x:c r="Q39" s="28" t="n">
        <x:f>LN(1+F39)</x:f>
        <x:v>4.430816798843313</x:v>
      </x:c>
      <x:c r="R39" s="28" t="n">
        <x:f>LN(1+G39)</x:f>
        <x:v>4.430816798843313</x:v>
      </x:c>
      <x:c r="S39" s="28" t="n">
        <x:f>O39</x:f>
        <x:v>0.0016977549424773818</x:v>
      </x:c>
      <x:c r="T39" s="28" t="n">
        <x:f>I39/100</x:f>
        <x:v>0.156</x:v>
      </x:c>
      <x:c r="U39" s="28" t="n">
        <x:f>K39/100</x:f>
        <x:v>0.066</x:v>
      </x:c>
      <x:c r="V39" s="28" t="n">
        <x:f>LN(1+L39)</x:f>
        <x:v>1.410986973710262</x:v>
      </x:c>
      <x:c r="W39" s="28" t="n">
        <x:f>(LN(1+F39)-LN(1+D39))/9</x:f>
        <x:v>0.26126391746260863</x:v>
      </x:c>
      <x:c r="X39" s="28" t="n">
        <x:f>(LN(1+F39)-LN(1+E39))/4</x:f>
        <x:v>0.41455701915088305</x:v>
      </x:c>
      <x:c r="Y39" s="28" t="n">
        <x:f>I39-H39</x:f>
        <x:v>13.1</x:v>
      </x:c>
      <x:c r="Z39" s="28" t="n">
        <x:f>K39-J39</x:f>
        <x:v>4.3</x:v>
      </x:c>
      <x:c r="AA39" s="26" t="n">
        <x:v>17.6</x:v>
      </x:c>
      <x:c r="AB39" s="26" t="n">
        <x:v>18.46</x:v>
      </x:c>
      <x:c r="AC39" s="26" t="n">
        <x:v>18.72</x:v>
      </x:c>
      <x:c r="AD39" s="26" t="n">
        <x:v>18.6</x:v>
      </x:c>
      <x:c r="AE39" s="26" t="n">
        <x:v>19.54</x:v>
      </x:c>
      <x:c r="AF39" s="26" t="n">
        <x:v>20.1</x:v>
      </x:c>
      <x:c r="AG39" s="26" t="n">
        <x:f>AF39-AA39</x:f>
        <x:v>2.5</x:v>
      </x:c>
      <x:c r="AH39" s="26" t="n">
        <x:v>21.55</x:v>
      </x:c>
      <x:c r="AI39" s="26" t="n">
        <x:v>10.38</x:v>
      </x:c>
      <x:c r="AJ39" s="26" t="n">
        <x:v>67.39</x:v>
      </x:c>
      <x:c r="AK39" s="26" t="n">
        <x:f>AJ39-AI39</x:f>
        <x:v>57.01</x:v>
      </x:c>
      <x:c r="AL39" s="24" t="n">
        <x:v>50.6</x:v>
      </x:c>
      <x:c r="AM39" s="24" t="n">
        <x:v>15.69</x:v>
      </x:c>
      <x:c r="AN39" s="24" t="n">
        <x:v>336.6</x:v>
      </x:c>
      <x:c r="AO39" s="24" t="n">
        <x:v>448.6</x:v>
      </x:c>
      <x:c r="AP39" s="24" t="n">
        <x:v>350.57</x:v>
      </x:c>
      <x:c r="AQ39" s="24" t="n">
        <x:v>531.59</x:v>
      </x:c>
      <x:c r="AR39" s="22" t="n">
        <x:f>IF(AP39&gt;0,AN39/AP39,"")</x:f>
        <x:v>0.9601506118606841</x:v>
      </x:c>
      <x:c r="AS39" s="22" t="n">
        <x:f>IF(AQ39&gt;0,AO39/AQ39,"")</x:f>
        <x:v>0.8438834440075998</x:v>
      </x:c>
      <x:c r="AT39" s="22" t="n">
        <x:f>AS39-AR39</x:f>
        <x:v>-0.11626716785308422</x:v>
      </x:c>
      <x:c r="AU39" s="28" t="n">
        <x:f>(LN(1+AO39)-LN(1+AN39))/5</x:f>
        <x:v>0.05729930717153575</x:v>
      </x:c>
    </x:row>
    <x:row r="40">
      <x:c r="A40" t="str">
        <x:v>Nigeria</x:v>
      </x:c>
      <x:c r="B40" t="str">
        <x:v>Nigeria</x:v>
      </x:c>
      <x:c r="C40" t="str">
        <x:v>Balancing</x:v>
      </x:c>
      <x:c r="D40" s="24" t="n">
        <x:v>2141</x:v>
      </x:c>
      <x:c r="E40" s="24" t="n">
        <x:v>2230</x:v>
      </x:c>
      <x:c r="F40" s="24" t="n">
        <x:v>3206</x:v>
      </x:c>
      <x:c r="G40" s="24" t="n">
        <x:v>13139</x:v>
      </x:c>
      <x:c r="H40" s="26" t="n">
        <x:v>17.1</x:v>
      </x:c>
      <x:c r="I40" s="26" t="n">
        <x:v>21.8</x:v>
      </x:c>
      <x:c r="J40" s="26" t="n">
        <x:v>28.6</x:v>
      </x:c>
      <x:c r="K40" s="26" t="n">
        <x:v>33.2</x:v>
      </x:c>
      <x:c r="L40" s="26" t="n">
        <x:v>13.2</x:v>
      </x:c>
      <x:c r="M40" s="22" t="n">
        <x:f>IF(D40&gt;0,(F40/D40)^(1/9)-1,"")</x:f>
        <x:v>0.04588270973981068</x:v>
      </x:c>
      <x:c r="N40" s="24" t="n">
        <x:f>F40-D40</x:f>
        <x:v>1065</x:v>
      </x:c>
      <x:c r="O40" s="22" t="n">
        <x:f>N40/SUM($N$2:$N$55)</x:f>
        <x:v>0.023790908075505417</x:v>
      </x:c>
      <x:c r="P40" t="n">
        <x:f>1+COUNTIF($F$2:$F$55,"&gt;"&amp;F40)</x:f>
        <x:v>8</x:v>
      </x:c>
      <x:c r="Q40" s="28" t="n">
        <x:f>LN(1+F40)</x:f>
        <x:v>8.073091199693154</x:v>
      </x:c>
      <x:c r="R40" s="28" t="n">
        <x:f>LN(1+G40)</x:f>
        <x:v>9.483416292038601</x:v>
      </x:c>
      <x:c r="S40" s="28" t="n">
        <x:f>O40</x:f>
        <x:v>0.023790908075505417</x:v>
      </x:c>
      <x:c r="T40" s="28" t="n">
        <x:f>I40/100</x:f>
        <x:v>0.218</x:v>
      </x:c>
      <x:c r="U40" s="28" t="n">
        <x:f>K40/100</x:f>
        <x:v>0.332</x:v>
      </x:c>
      <x:c r="V40" s="28" t="n">
        <x:f>LN(1+L40)</x:f>
        <x:v>2.653241964607215</x:v>
      </x:c>
      <x:c r="W40" s="28" t="n">
        <x:f>(LN(1+F40)-LN(1+D40))/9</x:f>
        <x:v>0.044843994298384454</x:v>
      </x:c>
      <x:c r="X40" s="28" t="n">
        <x:f>(LN(1+F40)-LN(1+E40))/4</x:f>
        <x:v>0.09072150131515544</x:v>
      </x:c>
      <x:c r="Y40" s="28" t="n">
        <x:f>I40-H40</x:f>
        <x:v>4.699999999999999</x:v>
      </x:c>
      <x:c r="Z40" s="28" t="n">
        <x:f>K40-J40</x:f>
        <x:v>4.600000000000001</x:v>
      </x:c>
      <x:c r="AA40" s="26" t="n">
        <x:v>56.5</x:v>
      </x:c>
      <x:c r="AB40" s="26" t="n">
        <x:v>55.4</x:v>
      </x:c>
      <x:c r="AC40" s="26" t="n">
        <x:v>55.4</x:v>
      </x:c>
      <x:c r="AD40" s="26" t="n">
        <x:v>59.5</x:v>
      </x:c>
      <x:c r="AE40" s="26" t="n">
        <x:v>60.53</x:v>
      </x:c>
      <x:c r="AF40" s="26" t="n">
        <x:v>61.19</x:v>
      </x:c>
      <x:c r="AG40" s="26" t="n">
        <x:f>AF40-AA40</x:f>
        <x:v>4.689999999999998</x:v>
      </x:c>
      <x:c r="AH40" s="26" t="n">
        <x:v>86.3</x:v>
      </x:c>
      <x:c r="AI40" s="26" t="n">
        <x:v>32.92</x:v>
      </x:c>
      <x:c r="AJ40" s="26" t="n">
        <x:v>85</x:v>
      </x:c>
      <x:c r="AK40" s="26" t="n">
        <x:f>AJ40-AI40</x:f>
        <x:v>52.08</x:v>
      </x:c>
      <x:c r="AL40" s="24" t="n">
        <x:v>204.74</x:v>
      </x:c>
      <x:c r="AM40" s="24" t="n">
        <x:v>164.71</x:v>
      </x:c>
      <x:c r="AN40" s="24" t="n">
        <x:v>10894</x:v>
      </x:c>
      <x:c r="AO40" s="24" t="n">
        <x:v>11327.3</x:v>
      </x:c>
      <x:c r="AP40" s="24" t="n">
        <x:v>13046.26</x:v>
      </x:c>
      <x:c r="AQ40" s="24" t="n">
        <x:v>14390.56</x:v>
      </x:c>
      <x:c r="AR40" s="22" t="n">
        <x:f>IF(AP40&gt;0,AN40/AP40,"")</x:f>
        <x:v>0.8350285829042193</x:v>
      </x:c>
      <x:c r="AS40" s="22" t="n">
        <x:f>IF(AQ40&gt;0,AO40/AQ40,"")</x:f>
        <x:v>0.7871340656652694</x:v>
      </x:c>
      <x:c r="AT40" s="22" t="n">
        <x:f>AS40-AR40</x:f>
        <x:v>-0.047894517238949885</x:v>
      </x:c>
      <x:c r="AU40" s="28" t="n">
        <x:f>(LN(1+AO40)-LN(1+AN40))/5</x:f>
        <x:v>0.007800010250991818</x:v>
      </x:c>
    </x:row>
    <x:row r="41">
      <x:c r="A41" t="str">
        <x:v>Rwanda</x:v>
      </x:c>
      <x:c r="B41" t="str">
        <x:v>Rwanda</x:v>
      </x:c>
      <x:c r="C41" t="str">
        <x:v>Balancing</x:v>
      </x:c>
      <x:c r="D41" s="24" t="n">
        <x:v>108</x:v>
      </x:c>
      <x:c r="E41" s="24" t="n">
        <x:v>134</x:v>
      </x:c>
      <x:c r="F41" s="24" t="n">
        <x:v>127</x:v>
      </x:c>
      <x:c r="G41" s="24" t="n">
        <x:v>551</x:v>
      </x:c>
      <x:c r="H41" s="26" t="n">
        <x:v>48.6</x:v>
      </x:c>
      <x:c r="I41" s="26" t="n">
        <x:v>37.3</x:v>
      </x:c>
      <x:c r="J41" s="26" t="n">
        <x:v>48.5</x:v>
      </x:c>
      <x:c r="K41" s="26" t="n">
        <x:v>45.4</x:v>
      </x:c>
      <x:c r="L41" s="26" t="n">
        <x:v>12.7</x:v>
      </x:c>
      <x:c r="M41" s="22" t="n">
        <x:f>IF(D41&gt;0,(F41/D41)^(1/9)-1,"")</x:f>
        <x:v>0.018169295732309187</x:v>
      </x:c>
      <x:c r="N41" s="24" t="n">
        <x:f>F41-D41</x:f>
        <x:v>19</x:v>
      </x:c>
      <x:c r="O41" s="22" t="n">
        <x:f>N41/SUM($N$2:$N$55)</x:f>
        <x:v>0.00042443873561934546</x:v>
      </x:c>
      <x:c r="P41" t="n">
        <x:f>1+COUNTIF($F$2:$F$55,"&gt;"&amp;F41)</x:f>
        <x:v>35</x:v>
      </x:c>
      <x:c r="Q41" s="28" t="n">
        <x:f>LN(1+F41)</x:f>
        <x:v>4.852030263919617</x:v>
      </x:c>
      <x:c r="R41" s="28" t="n">
        <x:f>LN(1+G41)</x:f>
        <x:v>6.313548046277095</x:v>
      </x:c>
      <x:c r="S41" s="28" t="n">
        <x:f>O41</x:f>
        <x:v>0.00042443873561934546</x:v>
      </x:c>
      <x:c r="T41" s="28" t="n">
        <x:f>I41/100</x:f>
        <x:v>0.373</x:v>
      </x:c>
      <x:c r="U41" s="28" t="n">
        <x:f>K41/100</x:f>
        <x:v>0.45399999999999996</x:v>
      </x:c>
      <x:c r="V41" s="28" t="n">
        <x:f>LN(1+L41)</x:f>
        <x:v>2.617395832834079</x:v>
      </x:c>
      <x:c r="W41" s="28" t="n">
        <x:f>(LN(1+F41)-LN(1+D41))/9</x:f>
        <x:v>0.01785359796560816</x:v>
      </x:c>
      <x:c r="X41" s="28" t="n">
        <x:f>(LN(1+F41)-LN(1+E41))/4</x:f>
        <x:v>-0.013311128629703184</x:v>
      </x:c>
      <x:c r="Y41" s="28" t="n">
        <x:f>I41-H41</x:f>
        <x:v>-11.300000000000004</x:v>
      </x:c>
      <x:c r="Z41" s="28" t="n">
        <x:f>K41-J41</x:f>
        <x:v>-3.1000000000000014</x:v>
      </x:c>
      <x:c r="AA41" s="26" t="n">
        <x:v>37.96</x:v>
      </x:c>
      <x:c r="AB41" s="26" t="n">
        <x:v>46.6</x:v>
      </x:c>
      <x:c r="AC41" s="26" t="n">
        <x:v>45.19</x:v>
      </x:c>
      <x:c r="AD41" s="26" t="n">
        <x:v>48.7</x:v>
      </x:c>
      <x:c r="AE41" s="26" t="n">
        <x:v>50.58</x:v>
      </x:c>
      <x:c r="AF41" s="26" t="n">
        <x:v>63.9</x:v>
      </x:c>
      <x:c r="AG41" s="26" t="n">
        <x:f>AF41-AA41</x:f>
        <x:v>25.939999999999998</x:v>
      </x:c>
      <x:c r="AH41" s="26" t="n">
        <x:v>5.04</x:v>
      </x:c>
      <x:c r="AI41" s="26" t="n">
        <x:v>56.06</x:v>
      </x:c>
      <x:c r="AJ41" s="26" t="n">
        <x:v>99.89</x:v>
      </x:c>
      <x:c r="AK41" s="26" t="n">
        <x:f>AJ41-AI41</x:f>
        <x:v>43.83</x:v>
      </x:c>
      <x:c r="AL41" s="24" t="n">
        <x:v>86.54</x:v>
      </x:c>
      <x:c r="AM41" s="24" t="n">
        <x:v>71.43</x:v>
      </x:c>
      <x:c r="AN41" s="24" t="n">
        <x:v>114.14</x:v>
      </x:c>
      <x:c r="AO41" s="24" t="n">
        <x:v>149.14</x:v>
      </x:c>
      <x:c r="AP41" s="24" t="n">
        <x:v>231.04</x:v>
      </x:c>
      <x:c r="AQ41" s="24" t="n">
        <x:v>301.13</x:v>
      </x:c>
      <x:c r="AR41" s="22" t="n">
        <x:f>IF(AP41&gt;0,AN41/AP41,"")</x:f>
        <x:v>0.4940270083102493</x:v>
      </x:c>
      <x:c r="AS41" s="22" t="n">
        <x:f>IF(AQ41&gt;0,AO41/AQ41,"")</x:f>
        <x:v>0.49526782452761264</x:v>
      </x:c>
      <x:c r="AT41" s="22" t="n">
        <x:f>AS41-AR41</x:f>
        <x:v>0.0012408162173633275</x:v>
      </x:c>
      <x:c r="AU41" s="28" t="n">
        <x:f>(LN(1+AO41)-LN(1+AN41))/5</x:f>
        <x:v>0.0530838825794385</x:v>
      </x:c>
    </x:row>
    <x:row r="42">
      <x:c r="A42" t="str">
        <x:v>Sao Tome Prn</x:v>
      </x:c>
      <x:c r="B42" t="str">
        <x:v>Sao Tome and Principe</x:v>
      </x:c>
      <x:c r="C42" t="str">
        <x:v>Lagging</x:v>
      </x:c>
      <x:c r="D42" s="24" t="n">
        <x:v>2</x:v>
      </x:c>
      <x:c r="E42" s="24" t="n">
        <x:v>2</x:v>
      </x:c>
      <x:c r="F42" s="24" t="n">
        <x:v>5</x:v>
      </x:c>
      <x:c r="G42" s="24" t="n">
        <x:v>7</x:v>
      </x:c>
      <x:c r="H42" s="26" t="n">
        <x:v>7</x:v>
      </x:c>
      <x:c r="I42" s="26" t="n">
        <x:v>11.8</x:v>
      </x:c>
      <x:c r="J42" s="26" t="n">
        <x:v>5.6</x:v>
      </x:c>
      <x:c r="K42" s="26" t="n">
        <x:v>6.4</x:v>
      </x:c>
      <x:c r="L42" s="26" t="n">
        <x:v>10.5</x:v>
      </x:c>
      <x:c r="M42" s="22" t="n">
        <x:f>IF(D42&gt;0,(F42/D42)^(1/9)-1,"")</x:f>
        <x:v>0.10717317888991107</x:v>
      </x:c>
      <x:c r="N42" s="24" t="n">
        <x:f>F42-D42</x:f>
        <x:v>3</x:v>
      </x:c>
      <x:c r="O42" s="22" t="n">
        <x:f>N42/SUM($N$2:$N$55)</x:f>
        <x:v>0.00006701664246621244</x:v>
      </x:c>
      <x:c r="P42" t="n">
        <x:f>1+COUNTIF($F$2:$F$55,"&gt;"&amp;F42)</x:f>
        <x:v>53</x:v>
      </x:c>
      <x:c r="Q42" s="28" t="n">
        <x:f>LN(1+F42)</x:f>
        <x:v>1.791759469228055</x:v>
      </x:c>
      <x:c r="R42" s="28" t="n">
        <x:f>LN(1+G42)</x:f>
        <x:v>2.0794415416798357</x:v>
      </x:c>
      <x:c r="S42" s="28" t="n">
        <x:f>O42</x:f>
        <x:v>0.00006701664246621244</x:v>
      </x:c>
      <x:c r="T42" s="28" t="n">
        <x:f>I42/100</x:f>
        <x:v>0.11800000000000001</x:v>
      </x:c>
      <x:c r="U42" s="28" t="n">
        <x:f>K42/100</x:f>
        <x:v>0.064</x:v>
      </x:c>
      <x:c r="V42" s="28" t="n">
        <x:f>LN(1+L42)</x:f>
        <x:v>2.4423470353692043</x:v>
      </x:c>
      <x:c r="W42" s="28" t="n">
        <x:f>(LN(1+F42)-LN(1+D42))/9</x:f>
        <x:v>0.07701635339554946</x:v>
      </x:c>
      <x:c r="X42" s="28" t="n">
        <x:f>(LN(1+F42)-LN(1+E42))/4</x:f>
        <x:v>0.1732867951399863</x:v>
      </x:c>
      <x:c r="Y42" s="28" t="n">
        <x:f>I42-H42</x:f>
        <x:v>4.800000000000001</x:v>
      </x:c>
      <x:c r="Z42" s="28" t="n">
        <x:f>K42-J42</x:f>
        <x:v>0.8000000000000007</x:v>
      </x:c>
      <x:c r="AA42" s="26" t="n">
        <x:v>71</x:v>
      </x:c>
      <x:c r="AB42" s="26" t="n">
        <x:v>75.12</x:v>
      </x:c>
      <x:c r="AC42" s="26" t="n">
        <x:v>76.81</x:v>
      </x:c>
      <x:c r="AD42" s="26" t="n">
        <x:v>78.45</x:v>
      </x:c>
      <x:c r="AE42" s="26" t="n">
        <x:v>78.39</x:v>
      </x:c>
      <x:c r="AF42" s="26" t="n">
        <x:v>81.27</x:v>
      </x:c>
      <x:c r="AG42" s="26" t="n">
        <x:f>AF42-AA42</x:f>
        <x:v>10.269999999999996</x:v>
      </x:c>
      <x:c r="AH42" s="26" t="n">
        <x:v>0.04</x:v>
      </x:c>
      <x:c r="AI42" s="26" t="n">
        <x:v>79.09</x:v>
      </x:c>
      <x:c r="AJ42" s="26" t="n">
        <x:v>81.94</x:v>
      </x:c>
      <x:c r="AK42" s="26" t="n">
        <x:f>AJ42-AI42</x:f>
        <x:v>2.8499999999999943</x:v>
      </x:c>
      <x:c r="AL42" s="24" t="n">
        <x:v>258.02</x:v>
      </x:c>
      <x:c r="AM42" s="24" t="n">
        <x:v>509.6</x:v>
      </x:c>
      <x:c r="AN42" s="24" t="n">
        <x:v>27.6</x:v>
      </x:c>
      <x:c r="AO42" s="24" t="n">
        <x:v>28.3</x:v>
      </x:c>
      <x:c r="AP42" s="24" t="n">
        <x:v>29.87</x:v>
      </x:c>
      <x:c r="AQ42" s="24" t="n">
        <x:v>30.77</x:v>
      </x:c>
      <x:c r="AR42" s="22" t="n">
        <x:f>IF(AP42&gt;0,AN42/AP42,"")</x:f>
        <x:v>0.9240040174087714</x:v>
      </x:c>
      <x:c r="AS42" s="22" t="n">
        <x:f>IF(AQ42&gt;0,AO42/AQ42,"")</x:f>
        <x:v>0.9197270068248294</x:v>
      </x:c>
      <x:c r="AT42" s="22" t="n">
        <x:f>AS42-AR42</x:f>
        <x:v>-0.00427701058394192</x:v>
      </x:c>
      <x:c r="AU42" s="28" t="n">
        <x:f>(LN(1+AO42)-LN(1+AN42))/5</x:f>
        <x:v>0.004836159639442972</x:v>
      </x:c>
    </x:row>
    <x:row r="43">
      <x:c r="A43" t="str">
        <x:v>Senegal</x:v>
      </x:c>
      <x:c r="B43" t="str">
        <x:v>Senegal</x:v>
      </x:c>
      <x:c r="C43" t="str">
        <x:v>Balancing</x:v>
      </x:c>
      <x:c r="D43" s="24" t="n">
        <x:v>101</x:v>
      </x:c>
      <x:c r="E43" s="24" t="n">
        <x:v>438</x:v>
      </x:c>
      <x:c r="F43" s="24" t="n">
        <x:v>625</x:v>
      </x:c>
      <x:c r="G43" s="24" t="n">
        <x:v>864</x:v>
      </x:c>
      <x:c r="H43" s="26" t="n">
        <x:v>12.5</x:v>
      </x:c>
      <x:c r="I43" s="26" t="n">
        <x:v>23.3</x:v>
      </x:c>
      <x:c r="J43" s="26" t="n">
        <x:v>2</x:v>
      </x:c>
      <x:c r="K43" s="26" t="n">
        <x:v>11.5</x:v>
      </x:c>
      <x:c r="L43" s="26" t="n">
        <x:v>26</x:v>
      </x:c>
      <x:c r="M43" s="22" t="n">
        <x:f>IF(D43&gt;0,(F43/D43)^(1/9)-1,"")</x:f>
        <x:v>0.224477926029216</x:v>
      </x:c>
      <x:c r="N43" s="24" t="n">
        <x:f>F43-D43</x:f>
        <x:v>524</x:v>
      </x:c>
      <x:c r="O43" s="22" t="n">
        <x:f>N43/SUM($N$2:$N$55)</x:f>
        <x:v>0.011705573550765107</x:v>
      </x:c>
      <x:c r="P43" t="n">
        <x:f>1+COUNTIF($F$2:$F$55,"&gt;"&amp;F43)</x:f>
        <x:v>22</x:v>
      </x:c>
      <x:c r="Q43" s="28" t="n">
        <x:f>LN(1+F43)</x:f>
        <x:v>6.439350371100098</x:v>
      </x:c>
      <x:c r="R43" s="28" t="n">
        <x:f>LN(1+G43)</x:f>
        <x:v>6.762729506931879</x:v>
      </x:c>
      <x:c r="S43" s="28" t="n">
        <x:f>O43</x:f>
        <x:v>0.011705573550765107</x:v>
      </x:c>
      <x:c r="T43" s="28" t="n">
        <x:f>I43/100</x:f>
        <x:v>0.233</x:v>
      </x:c>
      <x:c r="U43" s="28" t="n">
        <x:f>K43/100</x:f>
        <x:v>0.115</x:v>
      </x:c>
      <x:c r="V43" s="28" t="n">
        <x:f>LN(1+L43)</x:f>
        <x:v>3.295836866004329</x:v>
      </x:c>
      <x:c r="W43" s="28" t="n">
        <x:f>(LN(1+F43)-LN(1+D43))/9</x:f>
        <x:v>0.20159750642398086</x:v>
      </x:c>
      <x:c r="X43" s="28" t="n">
        <x:f>(LN(1+F43)-LN(1+E43))/4</x:f>
        <x:v>0.08871273950623171</x:v>
      </x:c>
      <x:c r="Y43" s="28" t="n">
        <x:f>I43-H43</x:f>
        <x:v>10.8</x:v>
      </x:c>
      <x:c r="Z43" s="28" t="n">
        <x:f>K43-J43</x:f>
        <x:v>9.5</x:v>
      </x:c>
      <x:c r="AA43" s="26" t="n">
        <x:v>66</x:v>
      </x:c>
      <x:c r="AB43" s="26" t="n">
        <x:v>70.4</x:v>
      </x:c>
      <x:c r="AC43" s="26" t="n">
        <x:v>64.3</x:v>
      </x:c>
      <x:c r="AD43" s="26" t="n">
        <x:v>67.98</x:v>
      </x:c>
      <x:c r="AE43" s="26" t="n">
        <x:v>67.95</x:v>
      </x:c>
      <x:c r="AF43" s="26" t="n">
        <x:v>74.2</x:v>
      </x:c>
      <x:c r="AG43" s="26" t="n">
        <x:f>AF43-AA43</x:f>
        <x:v>8.200000000000003</x:v>
      </x:c>
      <x:c r="AH43" s="26" t="n">
        <x:v>4.8</x:v>
      </x:c>
      <x:c r="AI43" s="26" t="n">
        <x:v>52.67</x:v>
      </x:c>
      <x:c r="AJ43" s="26" t="n">
        <x:v>96.1</x:v>
      </x:c>
      <x:c r="AK43" s="26" t="n">
        <x:f>AJ43-AI43</x:f>
        <x:v>43.42999999999999</x:v>
      </x:c>
      <x:c r="AL43" s="24" t="n">
        <x:v>354.8</x:v>
      </x:c>
      <x:c r="AM43" s="24" t="n">
        <x:v>361.29</x:v>
      </x:c>
      <x:c r="AN43" s="24" t="n">
        <x:v>978.7</x:v>
      </x:c>
      <x:c r="AO43" s="24" t="n">
        <x:v>1091.15</x:v>
      </x:c>
      <x:c r="AP43" s="24" t="n">
        <x:v>1162.31</x:v>
      </x:c>
      <x:c r="AQ43" s="24" t="n">
        <x:v>1529.96</x:v>
      </x:c>
      <x:c r="AR43" s="22" t="n">
        <x:f>IF(AP43&gt;0,AN43/AP43,"")</x:f>
        <x:v>0.8420300952413728</x:v>
      </x:c>
      <x:c r="AS43" s="22" t="n">
        <x:f>IF(AQ43&gt;0,AO43/AQ43,"")</x:f>
        <x:v>0.7131885800935973</x:v>
      </x:c>
      <x:c r="AT43" s="22" t="n">
        <x:f>AS43-AR43</x:f>
        <x:v>-0.12884151514777553</x:v>
      </x:c>
      <x:c r="AU43" s="28" t="n">
        <x:f>(LN(1+AO43)-LN(1+AN43))/5</x:f>
        <x:v>0.02173142143164668</x:v>
      </x:c>
    </x:row>
    <x:row r="44">
      <x:c r="A44" t="str">
        <x:v>Seychelles</x:v>
      </x:c>
      <x:c r="B44" t="str">
        <x:v>Seychelles</x:v>
      </x:c>
      <x:c r="C44" t="str">
        <x:v>Lagging</x:v>
      </x:c>
      <x:c r="D44" s="24" t="n">
        <x:v>8</x:v>
      </x:c>
      <x:c r="E44" s="24" t="n">
        <x:v>22</x:v>
      </x:c>
      <x:c r="F44" s="24" t="n">
        <x:v>25</x:v>
      </x:c>
      <x:c r="G44" s="24" t="n">
        <x:v>27</x:v>
      </x:c>
      <x:c r="H44" s="26" t="n">
        <x:v>7.1</x:v>
      </x:c>
      <x:c r="I44" s="26" t="n">
        <x:v>18.8</x:v>
      </x:c>
      <x:c r="J44" s="26" t="n">
        <x:v>2.3</x:v>
      </x:c>
      <x:c r="K44" s="26" t="n">
        <x:v>5.6</x:v>
      </x:c>
      <x:c r="L44" s="26" t="n">
        <x:v>182.1</x:v>
      </x:c>
      <x:c r="M44" s="22" t="n">
        <x:f>IF(D44&gt;0,(F44/D44)^(1/9)-1,"")</x:f>
        <x:v>0.13496726515367308</x:v>
      </x:c>
      <x:c r="N44" s="24" t="n">
        <x:f>F44-D44</x:f>
        <x:v>17</x:v>
      </x:c>
      <x:c r="O44" s="22" t="n">
        <x:f>N44/SUM($N$2:$N$55)</x:f>
        <x:v>0.00037976097397520386</x:v>
      </x:c>
      <x:c r="P44" t="n">
        <x:f>1+COUNTIF($F$2:$F$55,"&gt;"&amp;F44)</x:f>
        <x:v>50</x:v>
      </x:c>
      <x:c r="Q44" s="28" t="n">
        <x:f>LN(1+F44)</x:f>
        <x:v>3.258096538021482</x:v>
      </x:c>
      <x:c r="R44" s="28" t="n">
        <x:f>LN(1+G44)</x:f>
        <x:v>3.332204510175204</x:v>
      </x:c>
      <x:c r="S44" s="28" t="n">
        <x:f>O44</x:f>
        <x:v>0.00037976097397520386</x:v>
      </x:c>
      <x:c r="T44" s="28" t="n">
        <x:f>I44/100</x:f>
        <x:v>0.188</x:v>
      </x:c>
      <x:c r="U44" s="28" t="n">
        <x:f>K44/100</x:f>
        <x:v>0.055999999999999994</x:v>
      </x:c>
      <x:c r="V44" s="28" t="n">
        <x:f>LN(1+L44)</x:f>
        <x:v>5.210032451680465</x:v>
      </x:c>
      <x:c r="W44" s="28" t="n">
        <x:f>(LN(1+F44)-LN(1+D44))/9</x:f>
        <x:v>0.1178746622983625</x:v>
      </x:c>
      <x:c r="X44" s="28" t="n">
        <x:f>(LN(1+F44)-LN(1+E44))/4</x:f>
        <x:v>0.030650580523083115</x:v>
      </x:c>
      <x:c r="Y44" s="28" t="n">
        <x:f>I44-H44</x:f>
        <x:v>11.700000000000001</x:v>
      </x:c>
      <x:c r="Z44" s="28" t="n">
        <x:f>K44-J44</x:f>
        <x:v>3.3</x:v>
      </x:c>
      <x:c r="AA44" s="26" t="n">
        <x:v>100</x:v>
      </x:c>
      <x:c r="AB44" s="26" t="n">
        <x:v>100</x:v>
      </x:c>
      <x:c r="AC44" s="26" t="n">
        <x:v>100</x:v>
      </x:c>
      <x:c r="AD44" s="26" t="n">
        <x:v>100</x:v>
      </x:c>
      <x:c r="AE44" s="26" t="n">
        <x:v>100</x:v>
      </x:c>
      <x:c r="AF44" s="26" t="n">
        <x:v>100</x:v>
      </x:c>
      <x:c r="AG44" s="26" t="n">
        <x:f>AF44-AA44</x:f>
        <x:v>0</x:v>
      </x:c>
      <x:c r="AH44" s="26" t="n">
        <x:v>0</x:v>
      </x:c>
      <x:c r="AI44" s="26" t="n">
        <x:v>100</x:v>
      </x:c>
      <x:c r="AJ44" s="26" t="n">
        <x:v>100</x:v>
      </x:c>
      <x:c r="AK44" s="26" t="n">
        <x:f>AJ44-AI44</x:f>
        <x:v>0</x:v>
      </x:c>
      <x:c r="AL44" s="24" t="n">
        <x:v>5749.7</x:v>
      </x:c>
      <x:c r="AM44" s="24" t="n">
        <x:v>5808.93</x:v>
      </x:c>
      <x:c r="AN44" s="24" t="n">
        <x:v>102.5</x:v>
      </x:c>
      <x:c r="AO44" s="24" t="n">
        <x:v>106.08</x:v>
      </x:c>
      <x:c r="AP44" s="24" t="n">
        <x:v>113.66</x:v>
      </x:c>
      <x:c r="AQ44" s="24" t="n">
        <x:v>129.83</x:v>
      </x:c>
      <x:c r="AR44" s="22" t="n">
        <x:f>IF(AP44&gt;0,AN44/AP44,"")</x:f>
        <x:v>0.9018124230160127</x:v>
      </x:c>
      <x:c r="AS44" s="22" t="n">
        <x:f>IF(AQ44&gt;0,AO44/AQ44,"")</x:f>
        <x:v>0.8170684741585149</x:v>
      </x:c>
      <x:c r="AT44" s="22" t="n">
        <x:f>AS44-AR44</x:f>
        <x:v>-0.08474394885749781</x:v>
      </x:c>
      <x:c r="AU44" s="28" t="n">
        <x:f>(LN(1+AO44)-LN(1+AN44))/5</x:f>
        <x:v>0.006800921189345744</x:v>
      </x:c>
    </x:row>
    <x:row r="45">
      <x:c r="A45" t="str">
        <x:v>Sierra Leone</x:v>
      </x:c>
      <x:c r="B45" t="str">
        <x:v>Sierra Leone</x:v>
      </x:c>
      <x:c r="C45" t="str">
        <x:v>Lagging</x:v>
      </x:c>
      <x:c r="D45" s="24" t="n">
        <x:v>91</x:v>
      </x:c>
      <x:c r="E45" s="24" t="n">
        <x:v>106</x:v>
      </x:c>
      <x:c r="F45" s="24" t="n">
        <x:v>112</x:v>
      </x:c>
      <x:c r="G45" s="24" t="n">
        <x:v>265</x:v>
      </x:c>
      <x:c r="H45" s="26" t="n">
        <x:v>55.5</x:v>
      </x:c>
      <x:c r="I45" s="26" t="n">
        <x:v>44.7</x:v>
      </x:c>
      <x:c r="J45" s="26" t="n">
        <x:v>74.3</x:v>
      </x:c>
      <x:c r="K45" s="26" t="n">
        <x:v>51.1</x:v>
      </x:c>
      <x:c r="L45" s="26" t="n">
        <x:v>13.3</x:v>
      </x:c>
      <x:c r="M45" s="22" t="n">
        <x:f>IF(D45&gt;0,(F45/D45)^(1/9)-1,"")</x:f>
        <x:v>0.023339235527605418</x:v>
      </x:c>
      <x:c r="N45" s="24" t="n">
        <x:f>F45-D45</x:f>
        <x:v>21</x:v>
      </x:c>
      <x:c r="O45" s="22" t="n">
        <x:f>N45/SUM($N$2:$N$55)</x:f>
        <x:v>0.0004691164972634871</x:v>
      </x:c>
      <x:c r="P45" t="n">
        <x:f>1+COUNTIF($F$2:$F$55,"&gt;"&amp;F45)</x:f>
        <x:v>38</x:v>
      </x:c>
      <x:c r="Q45" s="28" t="n">
        <x:f>LN(1+F45)</x:f>
        <x:v>4.727387818712341</x:v>
      </x:c>
      <x:c r="R45" s="28" t="n">
        <x:f>LN(1+G45)</x:f>
        <x:v>5.583496308781699</x:v>
      </x:c>
      <x:c r="S45" s="28" t="n">
        <x:f>O45</x:f>
        <x:v>0.0004691164972634871</x:v>
      </x:c>
      <x:c r="T45" s="28" t="n">
        <x:f>I45/100</x:f>
        <x:v>0.447</x:v>
      </x:c>
      <x:c r="U45" s="28" t="n">
        <x:f>K45/100</x:f>
        <x:v>0.511</x:v>
      </x:c>
      <x:c r="V45" s="28" t="n">
        <x:f>LN(1+L45)</x:f>
        <x:v>2.6602595372658615</x:v>
      </x:c>
      <x:c r="W45" s="28" t="n">
        <x:f>(LN(1+F45)-LN(1+D45))/9</x:f>
        <x:v>0.02284436018481115</x:v>
      </x:c>
      <x:c r="X45" s="28" t="n">
        <x:f>(LN(1+F45)-LN(1+E45))/4</x:f>
        <x:v>0.01363974606260876</x:v>
      </x:c>
      <x:c r="Y45" s="28" t="n">
        <x:f>I45-H45</x:f>
        <x:v>-10.799999999999997</x:v>
      </x:c>
      <x:c r="Z45" s="28" t="n">
        <x:f>K45-J45</x:f>
        <x:v>-23.199999999999996</x:v>
      </x:c>
      <x:c r="AA45" s="26" t="n">
        <x:v>26.1</x:v>
      </x:c>
      <x:c r="AB45" s="26" t="n">
        <x:v>22.7</x:v>
      </x:c>
      <x:c r="AC45" s="26" t="n">
        <x:v>26.31</x:v>
      </x:c>
      <x:c r="AD45" s="26" t="n">
        <x:v>27.49</x:v>
      </x:c>
      <x:c r="AE45" s="26" t="n">
        <x:v>29.4</x:v>
      </x:c>
      <x:c r="AF45" s="26" t="n">
        <x:v>35.55</x:v>
      </x:c>
      <x:c r="AG45" s="26" t="n">
        <x:f>AF45-AA45</x:f>
        <x:v>9.449999999999996</x:v>
      </x:c>
      <x:c r="AH45" s="26" t="n">
        <x:v>5.5</x:v>
      </x:c>
      <x:c r="AI45" s="26" t="n">
        <x:v>19.03</x:v>
      </x:c>
      <x:c r="AJ45" s="26" t="n">
        <x:v>56.32</x:v>
      </x:c>
      <x:c r="AK45" s="26" t="n">
        <x:f>AJ45-AI45</x:f>
        <x:v>37.29</x:v>
      </x:c>
      <x:c r="AL45" s="24" t="n">
        <x:v>25.36</x:v>
      </x:c>
      <x:c r="AM45" s="24" t="n">
        <x:v>53.42</x:v>
      </x:c>
      <x:c r="AN45" s="24" t="n">
        <x:v>102.7</x:v>
      </x:c>
      <x:c r="AO45" s="24" t="n">
        <x:v>138.7</x:v>
      </x:c>
      <x:c r="AP45" s="24" t="n">
        <x:v>198.89</x:v>
      </x:c>
      <x:c r="AQ45" s="24" t="n">
        <x:v>253.81</x:v>
      </x:c>
      <x:c r="AR45" s="22" t="n">
        <x:f>IF(AP45&gt;0,AN45/AP45,"")</x:f>
        <x:v>0.5163658303584897</x:v>
      </x:c>
      <x:c r="AS45" s="22" t="n">
        <x:f>IF(AQ45&gt;0,AO45/AQ45,"")</x:f>
        <x:v>0.5464717702218195</x:v>
      </x:c>
      <x:c r="AT45" s="22" t="n">
        <x:f>AS45-AR45</x:f>
        <x:v>0.030105939863329767</x:v>
      </x:c>
      <x:c r="AU45" s="28" t="n">
        <x:f>(LN(1+AO45)-LN(1+AN45))/5</x:f>
        <x:v>0.05959903020548687</x:v>
      </x:c>
    </x:row>
    <x:row r="46">
      <x:c r="A46" t="str">
        <x:v>Somalia</x:v>
      </x:c>
      <x:c r="B46" t="str">
        <x:v>Somalia</x:v>
      </x:c>
      <x:c r="C46" t="str">
        <x:v>Lagging</x:v>
      </x:c>
      <x:c r="D46" s="24" t="n">
        <x:v>4</x:v>
      </x:c>
      <x:c r="E46" s="24" t="n">
        <x:v>22</x:v>
      </x:c>
      <x:c r="F46" s="24" t="n">
        <x:v>49</x:v>
      </x:c>
      <x:c r="G46" s="24" t="n">
        <x:v>85</x:v>
      </x:c>
      <x:c r="H46" s="26" t="n">
        <x:v>4.7</x:v>
      </x:c>
      <x:c r="I46" s="26" t="n">
        <x:v>14.2</x:v>
      </x:c>
      <x:c r="J46" s="26" t="n">
        <x:v>1.5</x:v>
      </x:c>
      <x:c r="K46" s="26" t="n">
        <x:v>13.6</x:v>
      </x:c>
      <x:c r="L46" s="26" t="n">
        <x:v>2.6</x:v>
      </x:c>
      <x:c r="M46" s="22" t="n">
        <x:f>IF(D46&gt;0,(F46/D46)^(1/9)-1,"")</x:f>
        <x:v>0.3210036264624738</x:v>
      </x:c>
      <x:c r="N46" s="24" t="n">
        <x:f>F46-D46</x:f>
        <x:v>45</x:v>
      </x:c>
      <x:c r="O46" s="22" t="n">
        <x:f>N46/SUM($N$2:$N$55)</x:f>
        <x:v>0.0010052496369931867</x:v>
      </x:c>
      <x:c r="P46" t="n">
        <x:f>1+COUNTIF($F$2:$F$55,"&gt;"&amp;F46)</x:f>
        <x:v>45</x:v>
      </x:c>
      <x:c r="Q46" s="28" t="n">
        <x:f>LN(1+F46)</x:f>
        <x:v>3.912023005428146</x:v>
      </x:c>
      <x:c r="R46" s="28" t="n">
        <x:f>LN(1+G46)</x:f>
        <x:v>4.454347296253507</x:v>
      </x:c>
      <x:c r="S46" s="28" t="n">
        <x:f>O46</x:f>
        <x:v>0.0010052496369931867</x:v>
      </x:c>
      <x:c r="T46" s="28" t="n">
        <x:f>I46/100</x:f>
        <x:v>0.142</x:v>
      </x:c>
      <x:c r="U46" s="28" t="n">
        <x:f>K46/100</x:f>
        <x:v>0.136</x:v>
      </x:c>
      <x:c r="V46" s="28" t="n">
        <x:f>LN(1+L46)</x:f>
        <x:v>1.2809338454620642</x:v>
      </x:c>
      <x:c r="W46" s="28" t="n">
        <x:f>(LN(1+F46)-LN(1+D46))/9</x:f>
        <x:v>0.2558427881104495</x:v>
      </x:c>
      <x:c r="X46" s="28" t="n">
        <x:f>(LN(1+F46)-LN(1+E46))/4</x:f>
        <x:v>0.19413219737474907</x:v>
      </x:c>
      <x:c r="Y46" s="28" t="n">
        <x:f>I46-H46</x:f>
        <x:v>9.5</x:v>
      </x:c>
      <x:c r="Z46" s="28" t="n">
        <x:f>K46-J46</x:f>
        <x:v>12.1</x:v>
      </x:c>
      <x:c r="AA46" s="26" t="n">
        <x:v>50.73</x:v>
      </x:c>
      <x:c r="AB46" s="26" t="n">
        <x:v>49.2</x:v>
      </x:c>
      <x:c r="AC46" s="26" t="n">
        <x:v>49.86</x:v>
      </x:c>
      <x:c r="AD46" s="26" t="n">
        <x:v>49.32</x:v>
      </x:c>
      <x:c r="AE46" s="26" t="n">
        <x:v>48.92</x:v>
      </x:c>
      <x:c r="AF46" s="26" t="n">
        <x:v>50.31</x:v>
      </x:c>
      <x:c r="AG46" s="26" t="n">
        <x:f>AF46-AA46</x:f>
        <x:v>-0.4199999999999946</x:v>
      </x:c>
      <x:c r="AH46" s="26" t="n">
        <x:v>8.75</x:v>
      </x:c>
      <x:c r="AI46" s="26" t="n">
        <x:v>23.91</x:v>
      </x:c>
      <x:c r="AJ46" s="26" t="n">
        <x:v>79</x:v>
      </x:c>
      <x:c r="AK46" s="26" t="n">
        <x:f>AJ46-AI46</x:f>
        <x:v>55.09</x:v>
      </x:c>
      <x:c r="AL46" s="24" t="n">
        <x:v>19.15</x:v>
      </x:c>
      <x:c r="AM46" s="24" t="n">
        <x:v>27.78</x:v>
      </x:c>
      <x:c r="AN46" s="24" t="n">
        <x:v>100</x:v>
      </x:c>
      <x:c r="AO46" s="24" t="n">
        <x:v>106</x:v>
      </x:c>
      <x:c r="AP46" s="24" t="n">
        <x:v>105.82</x:v>
      </x:c>
      <x:c r="AQ46" s="24" t="n">
        <x:v>155.46</x:v>
      </x:c>
      <x:c r="AR46" s="22" t="n">
        <x:f>IF(AP46&gt;0,AN46/AP46,"")</x:f>
        <x:v>0.9450009450009451</x:v>
      </x:c>
      <x:c r="AS46" s="22" t="n">
        <x:f>IF(AQ46&gt;0,AO46/AQ46,"")</x:f>
        <x:v>0.6818474205583429</x:v>
      </x:c>
      <x:c r="AT46" s="22" t="n">
        <x:f>AS46-AR46</x:f>
        <x:v>-0.2631535244426022</x:v>
      </x:c>
      <x:c r="AU46" s="28" t="n">
        <x:f>(LN(1+AO46)-LN(1+AN46))/5</x:f>
        <x:v>0.01154166352412922</x:v>
      </x:c>
    </x:row>
    <x:row r="47">
      <x:c r="A47" t="str">
        <x:v>South Africa</x:v>
      </x:c>
      <x:c r="B47" t="str">
        <x:v>South Africa</x:v>
      </x:c>
      <x:c r="C47" t="str">
        <x:v>Balancing</x:v>
      </x:c>
      <x:c r="D47" s="24" t="n">
        <x:v>4379</x:v>
      </x:c>
      <x:c r="E47" s="24" t="n">
        <x:v>7717</x:v>
      </x:c>
      <x:c r="F47" s="24" t="n">
        <x:v>16598</x:v>
      </x:c>
      <x:c r="G47" s="24" t="n">
        <x:v>17057</x:v>
      </x:c>
      <x:c r="H47" s="26" t="n">
        <x:v>8.7</x:v>
      </x:c>
      <x:c r="I47" s="26" t="n">
        <x:v>23.7</x:v>
      </x:c>
      <x:c r="J47" s="26" t="n">
        <x:v>2.1</x:v>
      </x:c>
      <x:c r="K47" s="26" t="n">
        <x:v>23</x:v>
      </x:c>
      <x:c r="L47" s="26" t="n">
        <x:v>211.2</x:v>
      </x:c>
      <x:c r="M47" s="22" t="n">
        <x:f>IF(D47&gt;0,(F47/D47)^(1/9)-1,"")</x:f>
        <x:v>0.15957239614960073</x:v>
      </x:c>
      <x:c r="N47" s="24" t="n">
        <x:f>F47-D47</x:f>
        <x:v>12219</x:v>
      </x:c>
      <x:c r="O47" s="22" t="n">
        <x:f>N47/SUM($N$2:$N$55)</x:f>
        <x:v>0.2729587847648833</x:v>
      </x:c>
      <x:c r="P47" t="n">
        <x:f>1+COUNTIF($F$2:$F$55,"&gt;"&amp;F47)</x:f>
        <x:v>1</x:v>
      </x:c>
      <x:c r="Q47" s="28" t="n">
        <x:f>LN(1+F47)</x:f>
        <x:v>9.71709773156622</x:v>
      </x:c>
      <x:c r="R47" s="28" t="n">
        <x:f>LN(1+G47)</x:f>
        <x:v>9.744374580879056</x:v>
      </x:c>
      <x:c r="S47" s="28" t="n">
        <x:f>O47</x:f>
        <x:v>0.2729587847648833</x:v>
      </x:c>
      <x:c r="T47" s="28" t="n">
        <x:f>I47/100</x:f>
        <x:v>0.237</x:v>
      </x:c>
      <x:c r="U47" s="28" t="n">
        <x:f>K47/100</x:f>
        <x:v>0.23</x:v>
      </x:c>
      <x:c r="V47" s="28" t="n">
        <x:f>LN(1+L47)</x:f>
        <x:v>5.357529226179882</x:v>
      </x:c>
      <x:c r="W47" s="28" t="n">
        <x:f>(LN(1+F47)-LN(1+D47))/9</x:f>
        <x:v>0.14803263646619197</x:v>
      </x:c>
      <x:c r="X47" s="28" t="n">
        <x:f>(LN(1+F47)-LN(1+E47))/4</x:f>
        <x:v>0.19144679736716386</x:v>
      </x:c>
      <x:c r="Y47" s="28" t="n">
        <x:f>I47-H47</x:f>
        <x:v>15</x:v>
      </x:c>
      <x:c r="Z47" s="28" t="n">
        <x:f>K47-J47</x:f>
        <x:v>20.9</x:v>
      </x:c>
      <x:c r="AA47" s="26" t="n">
        <x:v>84.7</x:v>
      </x:c>
      <x:c r="AB47" s="26" t="n">
        <x:v>85</x:v>
      </x:c>
      <x:c r="AC47" s="26" t="n">
        <x:v>90</x:v>
      </x:c>
      <x:c r="AD47" s="26" t="n">
        <x:v>89.3</x:v>
      </x:c>
      <x:c r="AE47" s="26" t="n">
        <x:v>86.48</x:v>
      </x:c>
      <x:c r="AF47" s="26" t="n">
        <x:v>87.73</x:v>
      </x:c>
      <x:c r="AG47" s="26" t="n">
        <x:f>AF47-AA47</x:f>
        <x:v>3.030000000000001</x:v>
      </x:c>
      <x:c r="AH47" s="26" t="n">
        <x:v>7.44</x:v>
      </x:c>
      <x:c r="AI47" s="26" t="n">
        <x:v>80.8</x:v>
      </x:c>
      <x:c r="AJ47" s="26" t="n">
        <x:v>90.86</x:v>
      </x:c>
      <x:c r="AK47" s="26" t="n">
        <x:f>AJ47-AI47</x:f>
        <x:v>10.060000000000002</x:v>
      </x:c>
      <x:c r="AL47" s="24" t="n">
        <x:v>5366.81</x:v>
      </x:c>
      <x:c r="AM47" s="24" t="n">
        <x:v>4542.19</x:v>
      </x:c>
      <x:c r="AN47" s="24" t="n">
        <x:v>45551</x:v>
      </x:c>
      <x:c r="AO47" s="24" t="n">
        <x:v>48978.4</x:v>
      </x:c>
      <x:c r="AP47" s="24" t="n">
        <x:v>53894.47</x:v>
      </x:c>
      <x:c r="AQ47" s="24" t="n">
        <x:v>64174.47</x:v>
      </x:c>
      <x:c r="AR47" s="22" t="n">
        <x:f>IF(AP47&gt;0,AN47/AP47,"")</x:f>
        <x:v>0.8451887549872927</x:v>
      </x:c>
      <x:c r="AS47" s="22" t="n">
        <x:f>IF(AQ47&gt;0,AO47/AQ47,"")</x:f>
        <x:v>0.7632069263680713</x:v>
      </x:c>
      <x:c r="AT47" s="22" t="n">
        <x:f>AS47-AR47</x:f>
        <x:v>-0.08198182861922143</x:v>
      </x:c>
      <x:c r="AU47" s="28" t="n">
        <x:f>(LN(1+AO47)-LN(1+AN47))/5</x:f>
        <x:v>0.01450905420307862</x:v>
      </x:c>
    </x:row>
    <x:row r="48">
      <x:c r="A48" t="str">
        <x:v>South Sudan</x:v>
      </x:c>
      <x:c r="B48" t="str">
        <x:v>South Sudan</x:v>
      </x:c>
      <x:c r="C48" t="str">
        <x:v>Lagging</x:v>
      </x:c>
      <x:c r="D48" s="24" t="n">
        <x:v>1</x:v>
      </x:c>
      <x:c r="E48" s="24" t="n">
        <x:v>4</x:v>
      </x:c>
      <x:c r="F48" s="24" t="n">
        <x:v>45</x:v>
      </x:c>
      <x:c r="G48" s="24" t="n">
        <x:v>34</x:v>
      </x:c>
      <x:c r="H48" s="26" t="n">
        <x:v>1.5</x:v>
      </x:c>
      <x:c r="I48" s="26" t="n">
        <x:v>18.6</x:v>
      </x:c>
      <x:c r="J48" s="26" t="n">
        <x:v>0.4</x:v>
      </x:c>
      <x:c r="K48" s="26" t="n">
        <x:v>5.8</x:v>
      </x:c>
      <x:c r="L48" s="26" t="n">
        <x:v>2.7</x:v>
      </x:c>
      <x:c r="M48" s="22" t="n">
        <x:f>IF(D48&gt;0,(F48/D48)^(1/9)-1,"")</x:f>
        <x:v>0.5264770502686476</x:v>
      </x:c>
      <x:c r="N48" s="24" t="n">
        <x:f>F48-D48</x:f>
        <x:v>44</x:v>
      </x:c>
      <x:c r="O48" s="22" t="n">
        <x:f>N48/SUM($N$2:$N$55)</x:f>
        <x:v>0.0009829107561711158</x:v>
      </x:c>
      <x:c r="P48" t="n">
        <x:f>1+COUNTIF($F$2:$F$55,"&gt;"&amp;F48)</x:f>
        <x:v>46</x:v>
      </x:c>
      <x:c r="Q48" s="28" t="n">
        <x:f>LN(1+F48)</x:f>
        <x:v>3.828641396489095</x:v>
      </x:c>
      <x:c r="R48" s="28" t="n">
        <x:f>LN(1+G48)</x:f>
        <x:v>3.5553480614894135</x:v>
      </x:c>
      <x:c r="S48" s="28" t="n">
        <x:f>O48</x:f>
        <x:v>0.0009829107561711158</x:v>
      </x:c>
      <x:c r="T48" s="28" t="n">
        <x:f>I48/100</x:f>
        <x:v>0.18600000000000003</x:v>
      </x:c>
      <x:c r="U48" s="28" t="n">
        <x:f>K48/100</x:f>
        <x:v>0.057999999999999996</x:v>
      </x:c>
      <x:c r="V48" s="28" t="n">
        <x:f>LN(1+L48)</x:f>
        <x:v>1.308332819650179</x:v>
      </x:c>
      <x:c r="W48" s="28" t="n">
        <x:f>(LN(1+F48)-LN(1+D48))/9</x:f>
        <x:v>0.34838824621434994</x:v>
      </x:c>
      <x:c r="X48" s="28" t="n">
        <x:f>(LN(1+F48)-LN(1+E48))/4</x:f>
        <x:v>0.5548008710137486</x:v>
      </x:c>
      <x:c r="Y48" s="28" t="n">
        <x:f>I48-H48</x:f>
        <x:v>17.1</x:v>
      </x:c>
      <x:c r="Z48" s="28" t="n">
        <x:f>K48-J48</x:f>
        <x:v>5.3999999999999995</x:v>
      </x:c>
      <x:c r="AA48" s="26" t="n">
        <x:v>6.29</x:v>
      </x:c>
      <x:c r="AB48" s="26" t="n">
        <x:v>6.77</x:v>
      </x:c>
      <x:c r="AC48" s="26" t="n">
        <x:v>7.26</x:v>
      </x:c>
      <x:c r="AD48" s="26" t="n">
        <x:v>7.75</x:v>
      </x:c>
      <x:c r="AE48" s="26" t="n">
        <x:v>5.4</x:v>
      </x:c>
      <x:c r="AF48" s="26" t="n">
        <x:v>5.4</x:v>
      </x:c>
      <x:c r="AG48" s="26" t="n">
        <x:f>AF48-AA48</x:f>
        <x:v>-0.8899999999999997</x:v>
      </x:c>
      <x:c r="AH48" s="26" t="n">
        <x:v>13.88</x:v>
      </x:c>
      <x:c r="AI48" s="26" t="n">
        <x:v>1.7</x:v>
      </x:c>
      <x:c r="AJ48" s="26" t="n">
        <x:v>19.14</x:v>
      </x:c>
      <x:c r="AK48" s="26" t="n">
        <x:f>AJ48-AI48</x:f>
        <x:v>17.44</x:v>
      </x:c>
      <x:c r="AL48" s="24" t="n">
        <x:v>46.26</x:v>
      </x:c>
      <x:c r="AM48" s="24" t="n">
        <x:v>43.87</x:v>
      </x:c>
      <x:c r="AN48" s="24" t="n">
        <x:v>131.4</x:v>
      </x:c>
      <x:c r="AO48" s="24" t="n">
        <x:v>196.4</x:v>
      </x:c>
      <x:c r="AP48" s="24" t="n">
        <x:v>133.63</x:v>
      </x:c>
      <x:c r="AQ48" s="24" t="n">
        <x:v>214.14</x:v>
      </x:c>
      <x:c r="AR48" s="22" t="n">
        <x:f>IF(AP48&gt;0,AN48/AP48,"")</x:f>
        <x:v>0.9833121305096162</x:v>
      </x:c>
      <x:c r="AS48" s="22" t="n">
        <x:f>IF(AQ48&gt;0,AO48/AQ48,"")</x:f>
        <x:v>0.917157000093397</x:v>
      </x:c>
      <x:c r="AT48" s="22" t="n">
        <x:f>AS48-AR48</x:f>
        <x:v>-0.06615513041621923</x:v>
      </x:c>
      <x:c r="AU48" s="28" t="n">
        <x:f>(LN(1+AO48)-LN(1+AN48))/5</x:f>
        <x:v>0.07988089669929473</x:v>
      </x:c>
    </x:row>
    <x:row r="49">
      <x:c r="A49" t="str">
        <x:v>Sudan</x:v>
      </x:c>
      <x:c r="B49" t="str">
        <x:v>Sudan</x:v>
      </x:c>
      <x:c r="C49" t="str">
        <x:v>Lagging</x:v>
      </x:c>
      <x:c r="D49" s="24" t="n">
        <x:v>1547</x:v>
      </x:c>
      <x:c r="E49" s="24" t="n">
        <x:v>1817</x:v>
      </x:c>
      <x:c r="F49" s="24" t="n">
        <x:v>1871</x:v>
      </x:c>
      <x:c r="G49" s="24" t="n">
        <x:v>10274</x:v>
      </x:c>
      <x:c r="H49" s="26" t="n">
        <x:v>46.1</x:v>
      </x:c>
      <x:c r="I49" s="26" t="n">
        <x:v>49.2</x:v>
      </x:c>
      <x:c r="J49" s="26" t="n">
        <x:v>56.2</x:v>
      </x:c>
      <x:c r="K49" s="26" t="n">
        <x:v>61</x:v>
      </x:c>
      <x:c r="L49" s="26" t="n">
        <x:v>37.1</x:v>
      </x:c>
      <x:c r="M49" s="22" t="n">
        <x:f>IF(D49&gt;0,(F49/D49)^(1/9)-1,"")</x:f>
        <x:v>0.021353170861632353</x:v>
      </x:c>
      <x:c r="N49" s="24" t="n">
        <x:f>F49-D49</x:f>
        <x:v>324</x:v>
      </x:c>
      <x:c r="O49" s="22" t="n">
        <x:f>N49/SUM($N$2:$N$55)</x:f>
        <x:v>0.007237797386350944</x:v>
      </x:c>
      <x:c r="P49" t="n">
        <x:f>1+COUNTIF($F$2:$F$55,"&gt;"&amp;F49)</x:f>
        <x:v>13</x:v>
      </x:c>
      <x:c r="Q49" s="28" t="n">
        <x:f>LN(1+F49)</x:f>
        <x:v>7.534762657037537</x:v>
      </x:c>
      <x:c r="R49" s="28" t="n">
        <x:f>LN(1+G49)</x:f>
        <x:v>9.237469039364436</x:v>
      </x:c>
      <x:c r="S49" s="28" t="n">
        <x:f>O49</x:f>
        <x:v>0.007237797386350944</x:v>
      </x:c>
      <x:c r="T49" s="28" t="n">
        <x:f>I49/100</x:f>
        <x:v>0.49200000000000005</x:v>
      </x:c>
      <x:c r="U49" s="28" t="n">
        <x:f>K49/100</x:f>
        <x:v>0.61</x:v>
      </x:c>
      <x:c r="V49" s="28" t="n">
        <x:f>LN(1+L49)</x:f>
        <x:v>3.6402142821326553</x:v>
      </x:c>
      <x:c r="W49" s="28" t="n">
        <x:f>(LN(1+F49)-LN(1+D49))/9</x:f>
        <x:v>0.021115955876429362</x:v>
      </x:c>
      <x:c r="X49" s="28" t="n">
        <x:f>(LN(1+F49)-LN(1+E49))/4</x:f>
        <x:v>0.007317595575028202</x:v>
      </x:c>
      <x:c r="Y49" s="28" t="n">
        <x:f>I49-H49</x:f>
        <x:v>3.1000000000000014</x:v>
      </x:c>
      <x:c r="Z49" s="28" t="n">
        <x:f>K49-J49</x:f>
        <x:v>4.799999999999997</x:v>
      </x:c>
      <x:c r="AA49" s="26" t="n">
        <x:v>55.34</x:v>
      </x:c>
      <x:c r="AB49" s="26" t="n">
        <x:v>57.57</x:v>
      </x:c>
      <x:c r="AC49" s="26" t="n">
        <x:v>59.7</x:v>
      </x:c>
      <x:c r="AD49" s="26" t="n">
        <x:v>61.77</x:v>
      </x:c>
      <x:c r="AE49" s="26" t="n">
        <x:v>63.21</x:v>
      </x:c>
      <x:c r="AF49" s="26" t="n">
        <x:v>65.98</x:v>
      </x:c>
      <x:c r="AG49" s="26" t="n">
        <x:f>AF49-AA49</x:f>
        <x:v>10.64</x:v>
      </x:c>
      <x:c r="AH49" s="26" t="n">
        <x:v>15.91</x:v>
      </x:c>
      <x:c r="AI49" s="26" t="n">
        <x:v>53.99</x:v>
      </x:c>
      <x:c r="AJ49" s="26" t="n">
        <x:v>87</x:v>
      </x:c>
      <x:c r="AK49" s="26" t="n">
        <x:f>AJ49-AI49</x:f>
        <x:v>33.01</x:v>
      </x:c>
      <x:c r="AL49" s="24" t="n">
        <x:v>322.23</x:v>
      </x:c>
      <x:c r="AM49" s="24" t="n">
        <x:v>413.15</x:v>
      </x:c>
      <x:c r="AN49" s="24" t="n">
        <x:v>1932</x:v>
      </x:c>
      <x:c r="AO49" s="24" t="n">
        <x:v>1935</x:v>
      </x:c>
      <x:c r="AP49" s="24" t="n">
        <x:v>3672.92</x:v>
      </x:c>
      <x:c r="AQ49" s="24" t="n">
        <x:v>3806.29</x:v>
      </x:c>
      <x:c r="AR49" s="22" t="n">
        <x:f>IF(AP49&gt;0,AN49/AP49,"")</x:f>
        <x:v>0.5260120013504241</x:v>
      </x:c>
      <x:c r="AS49" s="22" t="n">
        <x:f>IF(AQ49&gt;0,AO49/AQ49,"")</x:f>
        <x:v>0.5083690417703328</x:v>
      </x:c>
      <x:c r="AT49" s="22" t="n">
        <x:f>AS49-AR49</x:f>
        <x:v>-0.017642959580091322</x:v>
      </x:c>
      <x:c r="AU49" s="28" t="n">
        <x:f>(LN(1+AO49)-LN(1+AN49))/5</x:f>
        <x:v>0.00031015772563822706</x:v>
      </x:c>
    </x:row>
    <x:row r="50">
      <x:c r="A50" t="str">
        <x:v>Tanzania</x:v>
      </x:c>
      <x:c r="B50" t="str">
        <x:v>United Republic of Tanzania</x:v>
      </x:c>
      <x:c r="C50" t="str">
        <x:v>Balancing</x:v>
      </x:c>
      <x:c r="D50" s="24" t="n">
        <x:v>664</x:v>
      </x:c>
      <x:c r="E50" s="24" t="n">
        <x:v>678</x:v>
      </x:c>
      <x:c r="F50" s="24" t="n">
        <x:v>2880</x:v>
      </x:c>
      <x:c r="G50" s="24" t="n">
        <x:v>3043</x:v>
      </x:c>
      <x:c r="H50" s="26" t="n">
        <x:v>44.7</x:v>
      </x:c>
      <x:c r="I50" s="26" t="n">
        <x:v>69.2</x:v>
      </x:c>
      <x:c r="J50" s="26" t="n">
        <x:v>36.2</x:v>
      </x:c>
      <x:c r="K50" s="26" t="n">
        <x:v>30.2</x:v>
      </x:c>
      <x:c r="L50" s="26" t="n">
        <x:v>21.6</x:v>
      </x:c>
      <x:c r="M50" s="22" t="n">
        <x:f>IF(D50&gt;0,(F50/D50)^(1/9)-1,"")</x:f>
        <x:v>0.17707114122655843</x:v>
      </x:c>
      <x:c r="N50" s="24" t="n">
        <x:f>F50-D50</x:f>
        <x:v>2216</x:v>
      </x:c>
      <x:c r="O50" s="22" t="n">
        <x:f>N50/SUM($N$2:$N$55)</x:f>
        <x:v>0.04950295990170892</x:v>
      </x:c>
      <x:c r="P50" t="n">
        <x:f>1+COUNTIF($F$2:$F$55,"&gt;"&amp;F50)</x:f>
        <x:v>10</x:v>
      </x:c>
      <x:c r="Q50" s="28" t="n">
        <x:f>LN(1+F50)</x:f>
        <x:v>7.9658927350845286</x:v>
      </x:c>
      <x:c r="R50" s="28" t="n">
        <x:f>LN(1+G50)</x:f>
        <x:v>8.020927718981577</x:v>
      </x:c>
      <x:c r="S50" s="28" t="n">
        <x:f>O50</x:f>
        <x:v>0.04950295990170892</x:v>
      </x:c>
      <x:c r="T50" s="28" t="n">
        <x:f>I50/100</x:f>
        <x:v>0.6920000000000001</x:v>
      </x:c>
      <x:c r="U50" s="28" t="n">
        <x:f>K50/100</x:f>
        <x:v>0.302</x:v>
      </x:c>
      <x:c r="V50" s="28" t="n">
        <x:f>LN(1+L50)</x:f>
        <x:v>3.1179499062782403</x:v>
      </x:c>
      <x:c r="W50" s="28" t="n">
        <x:f>(LN(1+F50)-LN(1+D50))/9</x:f>
        <x:v>0.16290063271429714</x:v>
      </x:c>
      <x:c r="X50" s="28" t="n">
        <x:f>(LN(1+F50)-LN(1+E50))/4</x:f>
        <x:v>0.36131790188145807</x:v>
      </x:c>
      <x:c r="Y50" s="28" t="n">
        <x:f>I50-H50</x:f>
        <x:v>24.5</x:v>
      </x:c>
      <x:c r="Z50" s="28" t="n">
        <x:f>K50-J50</x:f>
        <x:v>-6.0000000000000036</x:v>
      </x:c>
      <x:c r="AA50" s="26" t="n">
        <x:v>34.93</x:v>
      </x:c>
      <x:c r="AB50" s="26" t="n">
        <x:v>37.7</x:v>
      </x:c>
      <x:c r="AC50" s="26" t="n">
        <x:v>39.9</x:v>
      </x:c>
      <x:c r="AD50" s="26" t="n">
        <x:v>42.74</x:v>
      </x:c>
      <x:c r="AE50" s="26" t="n">
        <x:v>45.8</x:v>
      </x:c>
      <x:c r="AF50" s="26" t="n">
        <x:v>48.3</x:v>
      </x:c>
      <x:c r="AG50" s="26" t="n">
        <x:f>AF50-AA50</x:f>
        <x:v>13.369999999999997</x:v>
      </x:c>
      <x:c r="AH50" s="26" t="n">
        <x:v>35.46</x:v>
      </x:c>
      <x:c r="AI50" s="26" t="n">
        <x:v>27.9</x:v>
      </x:c>
      <x:c r="AJ50" s="26" t="n">
        <x:v>82.45</x:v>
      </x:c>
      <x:c r="AK50" s="26" t="n">
        <x:f>AJ50-AI50</x:f>
        <x:v>54.550000000000004</x:v>
      </x:c>
      <x:c r="AL50" s="24" t="n">
        <x:v>136.12</x:v>
      </x:c>
      <x:c r="AM50" s="24" t="n">
        <x:v>149.09</x:v>
      </x:c>
      <x:c r="AN50" s="24" t="n">
        <x:v>1011.38</x:v>
      </x:c>
      <x:c r="AO50" s="24" t="n">
        <x:v>1278.98</x:v>
      </x:c>
      <x:c r="AP50" s="24" t="n">
        <x:v>1694.21</x:v>
      </x:c>
      <x:c r="AQ50" s="24" t="n">
        <x:v>2051.64</x:v>
      </x:c>
      <x:c r="AR50" s="22" t="n">
        <x:f>IF(AP50&gt;0,AN50/AP50,"")</x:f>
        <x:v>0.5969625961362522</x:v>
      </x:c>
      <x:c r="AS50" s="22" t="n">
        <x:f>IF(AQ50&gt;0,AO50/AQ50,"")</x:f>
        <x:v>0.6233939677526272</x:v>
      </x:c>
      <x:c r="AT50" s="22" t="n">
        <x:f>AS50-AR50</x:f>
        <x:v>0.026431371616374988</x:v>
      </x:c>
      <x:c r="AU50" s="28" t="n">
        <x:f>(LN(1+AO50)-LN(1+AN50))/5</x:f>
        <x:v>0.0469080916706579</x:v>
      </x:c>
    </x:row>
    <x:row r="51">
      <x:c r="A51" t="str">
        <x:v>Togo</x:v>
      </x:c>
      <x:c r="B51" t="str">
        <x:v>Togo</x:v>
      </x:c>
      <x:c r="C51" t="str">
        <x:v>Lagging</x:v>
      </x:c>
      <x:c r="D51" s="24" t="n">
        <x:v>67</x:v>
      </x:c>
      <x:c r="E51" s="24" t="n">
        <x:v>130</x:v>
      </x:c>
      <x:c r="F51" s="24" t="n">
        <x:v>153</x:v>
      </x:c>
      <x:c r="G51" s="24" t="n">
        <x:v>158</x:v>
      </x:c>
      <x:c r="H51" s="26" t="n">
        <x:v>27.9</x:v>
      </x:c>
      <x:c r="I51" s="26" t="n">
        <x:v>43</x:v>
      </x:c>
      <x:c r="J51" s="26" t="n">
        <x:v>23.6</x:v>
      </x:c>
      <x:c r="K51" s="26" t="n">
        <x:v>26.4</x:v>
      </x:c>
      <x:c r="L51" s="26" t="n">
        <x:v>14</x:v>
      </x:c>
      <x:c r="M51" s="22" t="n">
        <x:f>IF(D51&gt;0,(F51/D51)^(1/9)-1,"")</x:f>
        <x:v>0.09609019297479149</x:v>
      </x:c>
      <x:c r="N51" s="24" t="n">
        <x:f>F51-D51</x:f>
        <x:v>86</x:v>
      </x:c>
      <x:c r="O51" s="22" t="n">
        <x:f>N51/SUM($N$2:$N$55)</x:f>
        <x:v>0.00192114375069809</x:v>
      </x:c>
      <x:c r="P51" t="n">
        <x:f>1+COUNTIF($F$2:$F$55,"&gt;"&amp;F51)</x:f>
        <x:v>34</x:v>
      </x:c>
      <x:c r="Q51" s="28" t="n">
        <x:f>LN(1+F51)</x:f>
        <x:v>5.0369526024136295</x:v>
      </x:c>
      <x:c r="R51" s="28" t="n">
        <x:f>LN(1+G51)</x:f>
        <x:v>5.0689042022202315</x:v>
      </x:c>
      <x:c r="S51" s="28" t="n">
        <x:f>O51</x:f>
        <x:v>0.00192114375069809</x:v>
      </x:c>
      <x:c r="T51" s="28" t="n">
        <x:f>I51/100</x:f>
        <x:v>0.43</x:v>
      </x:c>
      <x:c r="U51" s="28" t="n">
        <x:f>K51/100</x:f>
        <x:v>0.264</x:v>
      </x:c>
      <x:c r="V51" s="28" t="n">
        <x:f>LN(1+L51)</x:f>
        <x:v>2.70805020110221</x:v>
      </x:c>
      <x:c r="W51" s="28" t="n">
        <x:f>(LN(1+F51)-LN(1+D51))/9</x:f>
        <x:v>0.09082721080416917</x:v>
      </x:c>
      <x:c r="X51" s="28" t="n">
        <x:f>(LN(1+F51)-LN(1+E51))/4</x:f>
        <x:v>0.040438819803119586</x:v>
      </x:c>
      <x:c r="Y51" s="28" t="n">
        <x:f>I51-H51</x:f>
        <x:v>15.100000000000001</x:v>
      </x:c>
      <x:c r="Z51" s="28" t="n">
        <x:f>K51-J51</x:f>
        <x:v>2.799999999999997</x:v>
      </x:c>
      <x:c r="AA51" s="26" t="n">
        <x:v>50</x:v>
      </x:c>
      <x:c r="AB51" s="26" t="n">
        <x:v>52.46</x:v>
      </x:c>
      <x:c r="AC51" s="26" t="n">
        <x:v>54.13</x:v>
      </x:c>
      <x:c r="AD51" s="26" t="n">
        <x:v>55.74</x:v>
      </x:c>
      <x:c r="AE51" s="26" t="n">
        <x:v>57.2</x:v>
      </x:c>
      <x:c r="AF51" s="26" t="n">
        <x:v>59.2</x:v>
      </x:c>
      <x:c r="AG51" s="26" t="n">
        <x:f>AF51-AA51</x:f>
        <x:v>9.200000000000003</x:v>
      </x:c>
      <x:c r="AH51" s="26" t="n">
        <x:v>3.67</x:v>
      </x:c>
      <x:c r="AI51" s="26" t="n">
        <x:v>30.5</x:v>
      </x:c>
      <x:c r="AJ51" s="26" t="n">
        <x:v>95</x:v>
      </x:c>
      <x:c r="AK51" s="26" t="n">
        <x:f>AJ51-AI51</x:f>
        <x:v>64.5</x:v>
      </x:c>
      <x:c r="AL51" s="24" t="n">
        <x:v>224.68</x:v>
      </x:c>
      <x:c r="AM51" s="24" t="n">
        <x:v>95.35</x:v>
      </x:c>
      <x:c r="AN51" s="24" t="n">
        <x:v>172.33</x:v>
      </x:c>
      <x:c r="AO51" s="24" t="n">
        <x:v>219.33</x:v>
      </x:c>
      <x:c r="AP51" s="24" t="n">
        <x:v>243.34</x:v>
      </x:c>
      <x:c r="AQ51" s="24" t="n">
        <x:v>352.87</x:v>
      </x:c>
      <x:c r="AR51" s="22" t="n">
        <x:f>IF(AP51&gt;0,AN51/AP51,"")</x:f>
        <x:v>0.7081860770937783</x:v>
      </x:c>
      <x:c r="AS51" s="22" t="n">
        <x:f>IF(AQ51&gt;0,AO51/AQ51,"")</x:f>
        <x:v>0.6215603480035141</x:v>
      </x:c>
      <x:c r="AT51" s="22" t="n">
        <x:f>AS51-AR51</x:f>
        <x:v>-0.08662572909026423</x:v>
      </x:c>
      <x:c r="AU51" s="28" t="n">
        <x:f>(LN(1+AO51)-LN(1+AN51))/5</x:f>
        <x:v>0.04798582610457558</x:v>
      </x:c>
    </x:row>
    <x:row r="52">
      <x:c r="A52" t="str">
        <x:v>Tunisia</x:v>
      </x:c>
      <x:c r="B52" t="str">
        <x:v>Tunisia</x:v>
      </x:c>
      <x:c r="C52" t="str">
        <x:v>Balancing</x:v>
      </x:c>
      <x:c r="D52" s="24" t="n">
        <x:v>340</x:v>
      </x:c>
      <x:c r="E52" s="24" t="n">
        <x:v>408</x:v>
      </x:c>
      <x:c r="F52" s="24" t="n">
        <x:v>1206</x:v>
      </x:c>
      <x:c r="G52" s="24" t="n">
        <x:v>960</x:v>
      </x:c>
      <x:c r="H52" s="26" t="n">
        <x:v>6.5</x:v>
      </x:c>
      <x:c r="I52" s="26" t="n">
        <x:v>16.6</x:v>
      </x:c>
      <x:c r="J52" s="26" t="n">
        <x:v>3</x:v>
      </x:c>
      <x:c r="K52" s="26" t="n">
        <x:v>4.6</x:v>
      </x:c>
      <x:c r="L52" s="26" t="n">
        <x:v>88.5</x:v>
      </x:c>
      <x:c r="M52" s="22" t="n">
        <x:f>IF(D52&gt;0,(F52/D52)^(1/9)-1,"")</x:f>
        <x:v>0.15105609241276197</x:v>
      </x:c>
      <x:c r="N52" s="24" t="n">
        <x:f>F52-D52</x:f>
        <x:v>866</x:v>
      </x:c>
      <x:c r="O52" s="22" t="n">
        <x:f>N52/SUM($N$2:$N$55)</x:f>
        <x:v>0.019345470791913327</x:v>
      </x:c>
      <x:c r="P52" t="n">
        <x:f>1+COUNTIF($F$2:$F$55,"&gt;"&amp;F52)</x:f>
        <x:v>17</x:v>
      </x:c>
      <x:c r="Q52" s="28" t="n">
        <x:f>LN(1+F52)</x:f>
        <x:v>7.095893221097532</x:v>
      </x:c>
      <x:c r="R52" s="28" t="n">
        <x:f>LN(1+G52)</x:f>
        <x:v>6.8679744089702925</x:v>
      </x:c>
      <x:c r="S52" s="28" t="n">
        <x:f>O52</x:f>
        <x:v>0.019345470791913327</x:v>
      </x:c>
      <x:c r="T52" s="28" t="n">
        <x:f>I52/100</x:f>
        <x:v>0.166</x:v>
      </x:c>
      <x:c r="U52" s="28" t="n">
        <x:f>K52/100</x:f>
        <x:v>0.046</x:v>
      </x:c>
      <x:c r="V52" s="28" t="n">
        <x:f>LN(1+L52)</x:f>
        <x:v>4.4942386252808095</x:v>
      </x:c>
      <x:c r="W52" s="28" t="n">
        <x:f>(LN(1+F52)-LN(1+D52))/9</x:f>
        <x:v>0.1404456382015572</x:v>
      </x:c>
      <x:c r="X52" s="28" t="n">
        <x:f>(LN(1+F52)-LN(1+E52))/4</x:f>
        <x:v>0.27054451626368237</x:v>
      </x:c>
      <x:c r="Y52" s="28" t="n">
        <x:f>I52-H52</x:f>
        <x:v>10.100000000000001</x:v>
      </x:c>
      <x:c r="Z52" s="28" t="n">
        <x:f>K52-J52</x:f>
        <x:v>1.5999999999999996</x:v>
      </x:c>
      <x:c r="AA52" s="26" t="n">
        <x:v>99.8</x:v>
      </x:c>
      <x:c r="AB52" s="26" t="n">
        <x:v>100</x:v>
      </x:c>
      <x:c r="AC52" s="26" t="n">
        <x:v>99.9</x:v>
      </x:c>
      <x:c r="AD52" s="26" t="n">
        <x:v>99.9</x:v>
      </x:c>
      <x:c r="AE52" s="26" t="n">
        <x:v>100</x:v>
      </x:c>
      <x:c r="AF52" s="26" t="n">
        <x:v>100</x:v>
      </x:c>
      <x:c r="AG52" s="26" t="n">
        <x:f>AF52-AA52</x:f>
        <x:v>0.20000000000000284</x:v>
      </x:c>
      <x:c r="AH52" s="26" t="n">
        <x:v>0</x:v>
      </x:c>
      <x:c r="AI52" s="26" t="n">
        <x:v>100</x:v>
      </x:c>
      <x:c r="AJ52" s="26" t="n">
        <x:v>100</x:v>
      </x:c>
      <x:c r="AK52" s="26" t="n">
        <x:f>AJ52-AI52</x:f>
        <x:v>0</x:v>
      </x:c>
      <x:c r="AL52" s="24" t="n">
        <x:v>1527.11</x:v>
      </x:c>
      <x:c r="AM52" s="24" t="n">
        <x:v>1599.18</x:v>
      </x:c>
      <x:c r="AN52" s="24" t="n">
        <x:v>4774</x:v>
      </x:c>
      <x:c r="AO52" s="24" t="n">
        <x:v>6072</x:v>
      </x:c>
      <x:c r="AP52" s="24" t="n">
        <x:v>5148.76</x:v>
      </x:c>
      <x:c r="AQ52" s="24" t="n">
        <x:v>6890.92</x:v>
      </x:c>
      <x:c r="AR52" s="22" t="n">
        <x:f>IF(AP52&gt;0,AN52/AP52,"")</x:f>
        <x:v>0.9272135426782371</x:v>
      </x:c>
      <x:c r="AS52" s="22" t="n">
        <x:f>IF(AQ52&gt;0,AO52/AQ52,"")</x:f>
        <x:v>0.8811595548925252</x:v>
      </x:c>
      <x:c r="AT52" s="22" t="n">
        <x:f>AS52-AR52</x:f>
        <x:v>-0.0460539877857119</x:v>
      </x:c>
      <x:c r="AU52" s="28" t="n">
        <x:f>(LN(1+AO52)-LN(1+AN52))/5</x:f>
        <x:v>0.048091748596548814</x:v>
      </x:c>
    </x:row>
    <x:row r="53">
      <x:c r="A53" t="str">
        <x:v>Uganda</x:v>
      </x:c>
      <x:c r="B53" t="str">
        <x:v>Uganda</x:v>
      </x:c>
      <x:c r="C53" t="str">
        <x:v>Balancing</x:v>
      </x:c>
      <x:c r="D53" s="24" t="n">
        <x:v>775</x:v>
      </x:c>
      <x:c r="E53" s="24" t="n">
        <x:v>1262</x:v>
      </x:c>
      <x:c r="F53" s="24" t="n">
        <x:v>1926</x:v>
      </x:c>
      <x:c r="G53" s="24" t="n">
        <x:v>4187</x:v>
      </x:c>
      <x:c r="H53" s="26" t="n">
        <x:v>85.1</x:v>
      </x:c>
      <x:c r="I53" s="26" t="n">
        <x:v>95</x:v>
      </x:c>
      <x:c r="J53" s="26" t="n">
        <x:v>98.2</x:v>
      </x:c>
      <x:c r="K53" s="26" t="n">
        <x:v>98.5</x:v>
      </x:c>
      <x:c r="L53" s="26" t="n">
        <x:v>36.3</x:v>
      </x:c>
      <x:c r="M53" s="22" t="n">
        <x:f>IF(D53&gt;0,(F53/D53)^(1/9)-1,"")</x:f>
        <x:v>0.10644106672683051</x:v>
      </x:c>
      <x:c r="N53" s="24" t="n">
        <x:f>F53-D53</x:f>
        <x:v>1151</x:v>
      </x:c>
      <x:c r="O53" s="22" t="n">
        <x:f>N53/SUM($N$2:$N$55)</x:f>
        <x:v>0.025712051826203508</x:v>
      </x:c>
      <x:c r="P53" t="n">
        <x:f>1+COUNTIF($F$2:$F$55,"&gt;"&amp;F53)</x:f>
        <x:v>12</x:v>
      </x:c>
      <x:c r="Q53" s="28" t="n">
        <x:f>LN(1+F53)</x:f>
        <x:v>7.563719668414366</x:v>
      </x:c>
      <x:c r="R53" s="28" t="n">
        <x:f>LN(1+G53)</x:f>
        <x:v>8.339978571990427</x:v>
      </x:c>
      <x:c r="S53" s="28" t="n">
        <x:f>O53</x:f>
        <x:v>0.025712051826203508</x:v>
      </x:c>
      <x:c r="T53" s="28" t="n">
        <x:f>I53/100</x:f>
        <x:v>0.95</x:v>
      </x:c>
      <x:c r="U53" s="28" t="n">
        <x:f>K53/100</x:f>
        <x:v>0.985</x:v>
      </x:c>
      <x:c r="V53" s="28" t="n">
        <x:f>LN(1+L53)</x:f>
        <x:v>3.6189933266497696</x:v>
      </x:c>
      <x:c r="W53" s="28" t="n">
        <x:f>(LN(1+F53)-LN(1+D53))/9</x:f>
        <x:v>0.10106301647012748</x:v>
      </x:c>
      <x:c r="X53" s="28" t="n">
        <x:f>(LN(1+F53)-LN(1+E53))/4</x:f>
        <x:v>0.10561863651596881</x:v>
      </x:c>
      <x:c r="Y53" s="28" t="n">
        <x:f>I53-H53</x:f>
        <x:v>9.900000000000006</x:v>
      </x:c>
      <x:c r="Z53" s="28" t="n">
        <x:f>K53-J53</x:f>
        <x:v>0.29999999999999716</x:v>
      </x:c>
      <x:c r="AA53" s="26" t="n">
        <x:v>41.92</x:v>
      </x:c>
      <x:c r="AB53" s="26" t="n">
        <x:v>41.3</x:v>
      </x:c>
      <x:c r="AC53" s="26" t="n">
        <x:v>42.14</x:v>
      </x:c>
      <x:c r="AD53" s="26" t="n">
        <x:v>45.22</x:v>
      </x:c>
      <x:c r="AE53" s="26" t="n">
        <x:v>47.11</x:v>
      </x:c>
      <x:c r="AF53" s="26" t="n">
        <x:v>51.53</x:v>
      </x:c>
      <x:c r="AG53" s="26" t="n">
        <x:f>AF53-AA53</x:f>
        <x:v>9.61</x:v>
      </x:c>
      <x:c r="AH53" s="26" t="n">
        <x:v>25.12</x:v>
      </x:c>
      <x:c r="AI53" s="26" t="n">
        <x:v>42.45</x:v>
      </x:c>
      <x:c r="AJ53" s="26" t="n">
        <x:v>76.39</x:v>
      </x:c>
      <x:c r="AK53" s="26" t="n">
        <x:f>AJ53-AI53</x:f>
        <x:v>33.94</x:v>
      </x:c>
      <x:c r="AL53" s="24" t="n">
        <x:v>83.63</x:v>
      </x:c>
      <x:c r="AM53" s="24" t="n">
        <x:v>119.35</x:v>
      </x:c>
      <x:c r="AN53" s="24" t="n">
        <x:v>102.68</x:v>
      </x:c>
      <x:c r="AO53" s="24" t="n">
        <x:v>101.08</x:v>
      </x:c>
      <x:c r="AP53" s="24" t="n">
        <x:v>997.58</x:v>
      </x:c>
      <x:c r="AQ53" s="24" t="n">
        <x:v>1714.73</x:v>
      </x:c>
      <x:c r="AR53" s="22" t="n">
        <x:f>IF(AP53&gt;0,AN53/AP53,"")</x:f>
        <x:v>0.10292908839391328</x:v>
      </x:c>
      <x:c r="AS53" s="22" t="n">
        <x:f>IF(AQ53&gt;0,AO53/AQ53,"")</x:f>
        <x:v>0.05894805596216314</x:v>
      </x:c>
      <x:c r="AT53" s="22" t="n">
        <x:f>AS53-AR53</x:f>
        <x:v>-0.04398103243175014</x:v>
      </x:c>
      <x:c r="AU53" s="28" t="n">
        <x:f>(LN(1+AO53)-LN(1+AN53))/5</x:f>
        <x:v>-0.0031104826014969333</x:v>
      </x:c>
    </x:row>
    <x:row r="54">
      <x:c r="A54" t="str">
        <x:v>Zambia</x:v>
      </x:c>
      <x:c r="B54" t="str">
        <x:v>Zambia</x:v>
      </x:c>
      <x:c r="C54" t="str">
        <x:v>Balancing</x:v>
      </x:c>
      <x:c r="D54" s="24" t="n">
        <x:v>2432</x:v>
      </x:c>
      <x:c r="E54" s="24" t="n">
        <x:v>2843</x:v>
      </x:c>
      <x:c r="F54" s="24" t="n">
        <x:v>3541</x:v>
      </x:c>
      <x:c r="G54" s="24" t="n">
        <x:v>11011</x:v>
      </x:c>
      <x:c r="H54" s="26" t="n">
        <x:v>83.8</x:v>
      </x:c>
      <x:c r="I54" s="26" t="n">
        <x:v>85</x:v>
      </x:c>
      <x:c r="J54" s="26" t="n">
        <x:v>94.3</x:v>
      </x:c>
      <x:c r="K54" s="26" t="n">
        <x:v>81.7</x:v>
      </x:c>
      <x:c r="L54" s="26" t="n">
        <x:v>159.7</x:v>
      </x:c>
      <x:c r="M54" s="22" t="n">
        <x:f>IF(D54&gt;0,(F54/D54)^(1/9)-1,"")</x:f>
        <x:v>0.04262744030247623</x:v>
      </x:c>
      <x:c r="N54" s="24" t="n">
        <x:f>F54-D54</x:f>
        <x:v>1109</x:v>
      </x:c>
      <x:c r="O54" s="22" t="n">
        <x:f>N54/SUM($N$2:$N$55)</x:f>
        <x:v>0.024773818831676533</x:v>
      </x:c>
      <x:c r="P54" t="n">
        <x:f>1+COUNTIF($F$2:$F$55,"&gt;"&amp;F54)</x:f>
        <x:v>6</x:v>
      </x:c>
      <x:c r="Q54" s="28" t="n">
        <x:f>LN(1+F54)</x:f>
        <x:v>8.17244681834278</x:v>
      </x:c>
      <x:c r="R54" s="28" t="n">
        <x:f>LN(1+G54)</x:f>
        <x:v>9.306740866262498</x:v>
      </x:c>
      <x:c r="S54" s="28" t="n">
        <x:f>O54</x:f>
        <x:v>0.024773818831676533</x:v>
      </x:c>
      <x:c r="T54" s="28" t="n">
        <x:f>I54/100</x:f>
        <x:v>0.85</x:v>
      </x:c>
      <x:c r="U54" s="28" t="n">
        <x:f>K54/100</x:f>
        <x:v>0.8170000000000001</x:v>
      </x:c>
      <x:c r="V54" s="28" t="n">
        <x:f>LN(1+L54)</x:f>
        <x:v>5.0795392727434665</x:v>
      </x:c>
      <x:c r="W54" s="28" t="n">
        <x:f>(LN(1+F54)-LN(1+D54))/9</x:f>
        <x:v>0.04172960839547299</x:v>
      </x:c>
      <x:c r="X54" s="28" t="n">
        <x:f>(LN(1+F54)-LN(1+E54))/4</x:f>
        <x:v>0.054870006854911946</x:v>
      </x:c>
      <x:c r="Y54" s="28" t="n">
        <x:f>I54-H54</x:f>
        <x:v>1.2000000000000028</x:v>
      </x:c>
      <x:c r="Z54" s="28" t="n">
        <x:f>K54-J54</x:f>
        <x:v>-12.599999999999994</x:v>
      </x:c>
      <x:c r="AA54" s="26" t="n">
        <x:v>40.23</x:v>
      </x:c>
      <x:c r="AB54" s="26" t="n">
        <x:v>43</x:v>
      </x:c>
      <x:c r="AC54" s="26" t="n">
        <x:v>44.6</x:v>
      </x:c>
      <x:c r="AD54" s="26" t="n">
        <x:v>46.69</x:v>
      </x:c>
      <x:c r="AE54" s="26" t="n">
        <x:v>47.83</x:v>
      </x:c>
      <x:c r="AF54" s="26" t="n">
        <x:v>51.09</x:v>
      </x:c>
      <x:c r="AG54" s="26" t="n">
        <x:f>AF54-AA54</x:f>
        <x:v>10.860000000000007</x:v>
      </x:c>
      <x:c r="AH54" s="26" t="n">
        <x:v>9.97</x:v>
      </x:c>
      <x:c r="AI54" s="26" t="n">
        <x:v>17.59</x:v>
      </x:c>
      <x:c r="AJ54" s="26" t="n">
        <x:v>89.89</x:v>
      </x:c>
      <x:c r="AK54" s="26" t="n">
        <x:f>AJ54-AI54</x:f>
        <x:v>72.3</x:v>
      </x:c>
      <x:c r="AL54" s="24" t="n">
        <x:v>739.63</x:v>
      </x:c>
      <x:c r="AM54" s="24" t="n">
        <x:v>862.3</x:v>
      </x:c>
      <x:c r="AN54" s="24" t="n">
        <x:v>523.6</x:v>
      </x:c>
      <x:c r="AO54" s="24" t="n">
        <x:v>524.8</x:v>
      </x:c>
      <x:c r="AP54" s="24" t="n">
        <x:v>2970.24</x:v>
      </x:c>
      <x:c r="AQ54" s="24" t="n">
        <x:v>3866.49</x:v>
      </x:c>
      <x:c r="AR54" s="22" t="n">
        <x:f>IF(AP54&gt;0,AN54/AP54,"")</x:f>
        <x:v>0.1762820512820513</x:v>
      </x:c>
      <x:c r="AS54" s="22" t="n">
        <x:f>IF(AQ54&gt;0,AO54/AQ54,"")</x:f>
        <x:v>0.13573033940343826</x:v>
      </x:c>
      <x:c r="AT54" s="22" t="n">
        <x:f>AS54-AR54</x:f>
        <x:v>-0.040551711878613034</x:v>
      </x:c>
      <x:c r="AU54" s="28" t="n">
        <x:f>(LN(1+AO54)-LN(1+AN54))/5</x:f>
        <x:v>0.0004569689726015014</x:v>
      </x:c>
    </x:row>
    <x:row r="55">
      <x:c r="A55" t="str">
        <x:v>Zimbabwe</x:v>
      </x:c>
      <x:c r="B55" t="str">
        <x:v>Zimbabwe</x:v>
      </x:c>
      <x:c r="C55" t="str">
        <x:v>Lagging</x:v>
      </x:c>
      <x:c r="D55" s="24" t="n">
        <x:v>878</x:v>
      </x:c>
      <x:c r="E55" s="24" t="n">
        <x:v>1207</x:v>
      </x:c>
      <x:c r="F55" s="24" t="n">
        <x:v>1285</x:v>
      </x:c>
      <x:c r="G55" s="24" t="n">
        <x:v>10132</x:v>
      </x:c>
      <x:c r="H55" s="26" t="n">
        <x:v>42.3</x:v>
      </x:c>
      <x:c r="I55" s="26" t="n">
        <x:v>41</x:v>
      </x:c>
      <x:c r="J55" s="26" t="n">
        <x:v>62.6</x:v>
      </x:c>
      <x:c r="K55" s="26" t="n">
        <x:v>56.7</x:v>
      </x:c>
      <x:c r="L55" s="26" t="n">
        <x:v>77.3</x:v>
      </x:c>
      <x:c r="M55" s="22" t="n">
        <x:f>IF(D55&gt;0,(F55/D55)^(1/9)-1,"")</x:f>
        <x:v>0.04322679829552767</x:v>
      </x:c>
      <x:c r="N55" s="24" t="n">
        <x:f>F55-D55</x:f>
        <x:v>407</x:v>
      </x:c>
      <x:c r="O55" s="22" t="n">
        <x:f>N55/SUM($N$2:$N$55)</x:f>
        <x:v>0.009091924494582822</x:v>
      </x:c>
      <x:c r="P55" t="n">
        <x:f>1+COUNTIF($F$2:$F$55,"&gt;"&amp;F55)</x:f>
        <x:v>16</x:v>
      </x:c>
      <x:c r="Q55" s="28" t="n">
        <x:f>LN(1+F55)</x:f>
        <x:v>7.1592919047975645</x:v>
      </x:c>
      <x:c r="R55" s="28" t="n">
        <x:f>LN(1+G55)</x:f>
        <x:v>9.223552703448318</x:v>
      </x:c>
      <x:c r="S55" s="28" t="n">
        <x:f>O55</x:f>
        <x:v>0.009091924494582822</x:v>
      </x:c>
      <x:c r="T55" s="28" t="n">
        <x:f>I55/100</x:f>
        <x:v>0.41</x:v>
      </x:c>
      <x:c r="U55" s="28" t="n">
        <x:f>K55/100</x:f>
        <x:v>0.5670000000000001</x:v>
      </x:c>
      <x:c r="V55" s="28" t="n">
        <x:f>LN(1+L55)</x:f>
        <x:v>4.360547602996758</x:v>
      </x:c>
      <x:c r="W55" s="28" t="n">
        <x:f>(LN(1+F55)-LN(1+D55))/9</x:f>
        <x:v>0.04227855634582086</x:v>
      </x:c>
      <x:c r="X55" s="28" t="n">
        <x:f>(LN(1+F55)-LN(1+E55))/4</x:f>
        <x:v>0.015642631575701005</x:v>
      </x:c>
      <x:c r="Y55" s="28" t="n">
        <x:f>I55-H55</x:f>
        <x:v>-1.2999999999999972</x:v>
      </x:c>
      <x:c r="Z55" s="28" t="n">
        <x:f>K55-J55</x:f>
        <x:v>-5.899999999999999</x:v>
      </x:c>
      <x:c r="AA55" s="26" t="n">
        <x:v>45.4</x:v>
      </x:c>
      <x:c r="AB55" s="26" t="n">
        <x:v>46.68</x:v>
      </x:c>
      <x:c r="AC55" s="26" t="n">
        <x:v>52.75</x:v>
      </x:c>
      <x:c r="AD55" s="26" t="n">
        <x:v>48.98</x:v>
      </x:c>
      <x:c r="AE55" s="26" t="n">
        <x:v>50.3</x:v>
      </x:c>
      <x:c r="AF55" s="26" t="n">
        <x:v>62</x:v>
      </x:c>
      <x:c r="AG55" s="26" t="n">
        <x:f>AF55-AA55</x:f>
        <x:v>16.6</x:v>
      </x:c>
      <x:c r="AH55" s="26" t="n">
        <x:v>7.15</x:v>
      </x:c>
      <x:c r="AI55" s="26" t="n">
        <x:v>51.4</x:v>
      </x:c>
      <x:c r="AJ55" s="26" t="n">
        <x:v>84</x:v>
      </x:c>
      <x:c r="AK55" s="26" t="n">
        <x:f>AJ55-AI55</x:f>
        <x:v>32.6</x:v>
      </x:c>
      <x:c r="AL55" s="24" t="n">
        <x:v>481</x:v>
      </x:c>
      <x:c r="AM55" s="24" t="n">
        <x:v>376.18</x:v>
      </x:c>
      <x:c r="AN55" s="24" t="n">
        <x:v>1200.75</x:v>
      </x:c>
      <x:c r="AO55" s="24" t="n">
        <x:v>1850.75</x:v>
      </x:c>
      <x:c r="AP55" s="24" t="n">
        <x:v>2389.37</x:v>
      </x:c>
      <x:c r="AQ55" s="24" t="n">
        <x:v>3076.94</x:v>
      </x:c>
      <x:c r="AR55" s="22" t="n">
        <x:f>IF(AP55&gt;0,AN55/AP55,"")</x:f>
        <x:v>0.5025383260022517</x:v>
      </x:c>
      <x:c r="AS55" s="22" t="n">
        <x:f>IF(AQ55&gt;0,AO55/AQ55,"")</x:f>
        <x:v>0.60149044180257</x:v>
      </x:c>
      <x:c r="AT55" s="22" t="n">
        <x:f>AS55-AR55</x:f>
        <x:v>0.09895211580031837</x:v>
      </x:c>
      <x:c r="AU55" s="28" t="n">
        <x:f>(LN(1+AO55)-LN(1+AN55))/5</x:f>
        <x:v>0.08647046202386584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  <x:col min="10" max="10" width="5.25" hidden="0" customWidth="1"/>
    <x:col min="11" max="11" width="5.25" hidden="0" customWidth="1"/>
    <x:col min="12" max="12" width="5.25" hidden="0" customWidth="1"/>
  </x:cols>
  <x:sheetData>
    <x:row r="1">
      <x:c r="A1" s="16" t="str">
        <x:v>IRENA Label</x:v>
      </x:c>
      <x:c r="B1" s="16" t="str">
        <x:v>Country</x:v>
      </x:c>
      <x:c r="C1" s="16" t="str">
        <x:v>2016</x:v>
      </x:c>
      <x:c r="D1" s="16" t="str">
        <x:v>2017</x:v>
      </x:c>
      <x:c r="E1" s="16" t="str">
        <x:v>2018</x:v>
      </x:c>
      <x:c r="F1" s="16" t="str">
        <x:v>2019</x:v>
      </x:c>
      <x:c r="G1" s="16" t="str">
        <x:v>2020</x:v>
      </x:c>
      <x:c r="H1" s="16" t="str">
        <x:v>2021</x:v>
      </x:c>
      <x:c r="I1" s="16" t="str">
        <x:v>2022</x:v>
      </x:c>
      <x:c r="J1" s="16" t="str">
        <x:v>2023</x:v>
      </x:c>
      <x:c r="K1" s="16" t="str">
        <x:v>2024</x:v>
      </x:c>
      <x:c r="L1" s="16" t="str">
        <x:v>2025</x:v>
      </x:c>
    </x:row>
    <x:row r="2">
      <x:c r="A2" t="str">
        <x:v>Algeria</x:v>
      </x:c>
      <x:c r="B2" t="str">
        <x:v>Algeria</x:v>
      </x:c>
      <x:c r="C2" t="n">
        <x:v>500</x:v>
      </x:c>
      <x:c r="D2" t="n">
        <x:v>593</x:v>
      </x:c>
      <x:c r="E2" t="n">
        <x:v>605</x:v>
      </x:c>
      <x:c r="F2" t="n">
        <x:v>605</x:v>
      </x:c>
      <x:c r="G2" t="n">
        <x:v>585</x:v>
      </x:c>
      <x:c r="H2" t="n">
        <x:v>506</x:v>
      </x:c>
      <x:c r="I2" t="n">
        <x:v>590</x:v>
      </x:c>
      <x:c r="J2" t="n">
        <x:v>601</x:v>
      </x:c>
      <x:c r="K2" t="n">
        <x:v>601</x:v>
      </x:c>
      <x:c r="L2" t="n">
        <x:v>601</x:v>
      </x:c>
    </x:row>
    <x:row r="3">
      <x:c r="A3" t="str">
        <x:v>Angola</x:v>
      </x:c>
      <x:c r="B3" t="str">
        <x:v>Angola</x:v>
      </x:c>
      <x:c r="C3" t="n">
        <x:v>1752</x:v>
      </x:c>
      <x:c r="D3" t="n">
        <x:v>2445</x:v>
      </x:c>
      <x:c r="E3" t="n">
        <x:v>3113</x:v>
      </x:c>
      <x:c r="F3" t="n">
        <x:v>3448</x:v>
      </x:c>
      <x:c r="G3" t="n">
        <x:v>3782</x:v>
      </x:c>
      <x:c r="H3" t="n">
        <x:v>3782</x:v>
      </x:c>
      <x:c r="I3" t="n">
        <x:v>4066</x:v>
      </x:c>
      <x:c r="J3" t="n">
        <x:v>4091</x:v>
      </x:c>
      <x:c r="K3" t="n">
        <x:v>4142</x:v>
      </x:c>
      <x:c r="L3" t="n">
        <x:v>4165</x:v>
      </x:c>
    </x:row>
    <x:row r="4">
      <x:c r="A4" t="str">
        <x:v>Benin</x:v>
      </x:c>
      <x:c r="B4" t="str">
        <x:v>Benin</x:v>
      </x:c>
      <x:c r="C4" t="n">
        <x:v>3</x:v>
      </x:c>
      <x:c r="D4" t="n">
        <x:v>3</x:v>
      </x:c>
      <x:c r="E4" t="n">
        <x:v>3</x:v>
      </x:c>
      <x:c r="F4" t="n">
        <x:v>4</x:v>
      </x:c>
      <x:c r="G4" t="n">
        <x:v>5</x:v>
      </x:c>
      <x:c r="H4" t="n">
        <x:v>7</x:v>
      </x:c>
      <x:c r="I4" t="n">
        <x:v>34</x:v>
      </x:c>
      <x:c r="J4" t="n">
        <x:v>36</x:v>
      </x:c>
      <x:c r="K4" t="n">
        <x:v>36</x:v>
      </x:c>
      <x:c r="L4" t="n">
        <x:v>36</x:v>
      </x:c>
    </x:row>
    <x:row r="5">
      <x:c r="A5" t="str">
        <x:v>Botswana</x:v>
      </x:c>
      <x:c r="B5" t="str">
        <x:v>Botswana</x:v>
      </x:c>
      <x:c r="C5" t="n">
        <x:v>3</x:v>
      </x:c>
      <x:c r="D5" t="n">
        <x:v>3</x:v>
      </x:c>
      <x:c r="E5" t="n">
        <x:v>4</x:v>
      </x:c>
      <x:c r="F5" t="n">
        <x:v>6</x:v>
      </x:c>
      <x:c r="G5" t="n">
        <x:v>6</x:v>
      </x:c>
      <x:c r="H5" t="n">
        <x:v>6</x:v>
      </x:c>
      <x:c r="I5" t="n">
        <x:v>6</x:v>
      </x:c>
      <x:c r="J5" t="n">
        <x:v>9</x:v>
      </x:c>
      <x:c r="K5" t="n">
        <x:v>66</x:v>
      </x:c>
      <x:c r="L5" t="n">
        <x:v>169</x:v>
      </x:c>
    </x:row>
    <x:row r="6">
      <x:c r="A6" t="str">
        <x:v>Burkina Faso</x:v>
      </x:c>
      <x:c r="B6" t="str">
        <x:v>Burkina Faso</x:v>
      </x:c>
      <x:c r="C6" t="n">
        <x:v>36</x:v>
      </x:c>
      <x:c r="D6" t="n">
        <x:v>71</x:v>
      </x:c>
      <x:c r="E6" t="n">
        <x:v>87</x:v>
      </x:c>
      <x:c r="F6" t="n">
        <x:v>91</x:v>
      </x:c>
      <x:c r="G6" t="n">
        <x:v>91</x:v>
      </x:c>
      <x:c r="H6" t="n">
        <x:v>92</x:v>
      </x:c>
      <x:c r="I6" t="n">
        <x:v>123</x:v>
      </x:c>
      <x:c r="J6" t="n">
        <x:v>212</x:v>
      </x:c>
      <x:c r="K6" t="n">
        <x:v>251</x:v>
      </x:c>
      <x:c r="L6" t="n">
        <x:v>251</x:v>
      </x:c>
    </x:row>
    <x:row r="7">
      <x:c r="A7" t="str">
        <x:v>Burundi</x:v>
      </x:c>
      <x:c r="B7" t="str">
        <x:v>Burundi</x:v>
      </x:c>
      <x:c r="C7" t="n">
        <x:v>56</x:v>
      </x:c>
      <x:c r="D7" t="n">
        <x:v>54</x:v>
      </x:c>
      <x:c r="E7" t="n">
        <x:v>54</x:v>
      </x:c>
      <x:c r="F7" t="n">
        <x:v>54</x:v>
      </x:c>
      <x:c r="G7" t="n">
        <x:v>54</x:v>
      </x:c>
      <x:c r="H7" t="n">
        <x:v>61</x:v>
      </x:c>
      <x:c r="I7" t="n">
        <x:v>76</x:v>
      </x:c>
      <x:c r="J7" t="n">
        <x:v>77</x:v>
      </x:c>
      <x:c r="K7" t="n">
        <x:v>77</x:v>
      </x:c>
      <x:c r="L7" t="n">
        <x:v>178</x:v>
      </x:c>
    </x:row>
    <x:row r="8">
      <x:c r="A8" t="str">
        <x:v>Cabo Verde</x:v>
      </x:c>
      <x:c r="B8" t="str">
        <x:v>Cabo Verde</x:v>
      </x:c>
      <x:c r="C8" t="n">
        <x:v>33</x:v>
      </x:c>
      <x:c r="D8" t="n">
        <x:v>33</x:v>
      </x:c>
      <x:c r="E8" t="n">
        <x:v>38</x:v>
      </x:c>
      <x:c r="F8" t="n">
        <x:v>41</x:v>
      </x:c>
      <x:c r="G8" t="n">
        <x:v>42</x:v>
      </x:c>
      <x:c r="H8" t="n">
        <x:v>44</x:v>
      </x:c>
      <x:c r="I8" t="n">
        <x:v>50</x:v>
      </x:c>
      <x:c r="J8" t="n">
        <x:v>53</x:v>
      </x:c>
      <x:c r="K8" t="n">
        <x:v>58</x:v>
      </x:c>
      <x:c r="L8" t="n">
        <x:v>73</x:v>
      </x:c>
    </x:row>
    <x:row r="9">
      <x:c r="A9" t="str">
        <x:v>Cameroon</x:v>
      </x:c>
      <x:c r="B9" t="str">
        <x:v>Cameroon</x:v>
      </x:c>
      <x:c r="C9" t="n">
        <x:v>733</x:v>
      </x:c>
      <x:c r="D9" t="n">
        <x:v>755</x:v>
      </x:c>
      <x:c r="E9" t="n">
        <x:v>757</x:v>
      </x:c>
      <x:c r="F9" t="n">
        <x:v>839</x:v>
      </x:c>
      <x:c r="G9" t="n">
        <x:v>853</x:v>
      </x:c>
      <x:c r="H9" t="n">
        <x:v>865</x:v>
      </x:c>
      <x:c r="I9" t="n">
        <x:v>867</x:v>
      </x:c>
      <x:c r="J9" t="n">
        <x:v>1050</x:v>
      </x:c>
      <x:c r="K9" t="n">
        <x:v>1500</x:v>
      </x:c>
      <x:c r="L9" t="n">
        <x:v>1500</x:v>
      </x:c>
    </x:row>
    <x:row r="10">
      <x:c r="A10" t="str">
        <x:v>Cent Afr Rep</x:v>
      </x:c>
      <x:c r="B10" t="str">
        <x:v>Central African Republic</x:v>
      </x:c>
      <x:c r="C10" t="n">
        <x:v>19</x:v>
      </x:c>
      <x:c r="D10" t="n">
        <x:v>19</x:v>
      </x:c>
      <x:c r="E10" t="n">
        <x:v>19</x:v>
      </x:c>
      <x:c r="F10" t="n">
        <x:v>19</x:v>
      </x:c>
      <x:c r="G10" t="n">
        <x:v>19</x:v>
      </x:c>
      <x:c r="H10" t="n">
        <x:v>19</x:v>
      </x:c>
      <x:c r="I10" t="n">
        <x:v>19</x:v>
      </x:c>
      <x:c r="J10" t="n">
        <x:v>59</x:v>
      </x:c>
      <x:c r="K10" t="n">
        <x:v>59</x:v>
      </x:c>
      <x:c r="L10" t="n">
        <x:v>59</x:v>
      </x:c>
    </x:row>
    <x:row r="11">
      <x:c r="A11" t="str">
        <x:v>Chad</x:v>
      </x:c>
      <x:c r="B11" t="str">
        <x:v>Chad</x:v>
      </x:c>
      <x:c r="C11" t="n">
        <x:v>3</x:v>
      </x:c>
      <x:c r="D11" t="n">
        <x:v>3</x:v>
      </x:c>
      <x:c r="E11" t="n">
        <x:v>4</x:v>
      </x:c>
      <x:c r="F11" t="n">
        <x:v>4</x:v>
      </x:c>
      <x:c r="G11" t="n">
        <x:v>4</x:v>
      </x:c>
      <x:c r="H11" t="n">
        <x:v>5</x:v>
      </x:c>
      <x:c r="I11" t="n">
        <x:v>5</x:v>
      </x:c>
      <x:c r="J11" t="n">
        <x:v>5</x:v>
      </x:c>
      <x:c r="K11" t="n">
        <x:v>5</x:v>
      </x:c>
      <x:c r="L11" t="n">
        <x:v>114</x:v>
      </x:c>
    </x:row>
    <x:row r="12">
      <x:c r="A12" t="str">
        <x:v>Comoros</x:v>
      </x:c>
      <x:c r="B12" t="str">
        <x:v>Comoros</x:v>
      </x:c>
      <x:c r="C12" t="n">
        <x:v>2</x:v>
      </x:c>
      <x:c r="D12" t="n">
        <x:v>3</x:v>
      </x:c>
      <x:c r="E12" t="n">
        <x:v>3</x:v>
      </x:c>
      <x:c r="F12" t="n">
        <x:v>3</x:v>
      </x:c>
      <x:c r="G12" t="n">
        <x:v>3</x:v>
      </x:c>
      <x:c r="H12" t="n">
        <x:v>5</x:v>
      </x:c>
      <x:c r="I12" t="n">
        <x:v>4</x:v>
      </x:c>
      <x:c r="J12" t="n">
        <x:v>5</x:v>
      </x:c>
      <x:c r="K12" t="n">
        <x:v>5</x:v>
      </x:c>
      <x:c r="L12" t="n">
        <x:v>11</x:v>
      </x:c>
    </x:row>
    <x:row r="13">
      <x:c r="A13" t="str">
        <x:v>Congo DR</x:v>
      </x:c>
      <x:c r="B13" t="str">
        <x:v>Democratic Republic of the Congo</x:v>
      </x:c>
      <x:c r="C13" t="n">
        <x:v>2434</x:v>
      </x:c>
      <x:c r="D13" t="n">
        <x:v>2448</x:v>
      </x:c>
      <x:c r="E13" t="n">
        <x:v>2609</x:v>
      </x:c>
      <x:c r="F13" t="n">
        <x:v>2620</x:v>
      </x:c>
      <x:c r="G13" t="n">
        <x:v>2625</x:v>
      </x:c>
      <x:c r="H13" t="n">
        <x:v>2628</x:v>
      </x:c>
      <x:c r="I13" t="n">
        <x:v>2958</x:v>
      </x:c>
      <x:c r="J13" t="n">
        <x:v>3215</x:v>
      </x:c>
      <x:c r="K13" t="n">
        <x:v>3289</x:v>
      </x:c>
      <x:c r="L13" t="n">
        <x:v>3289</x:v>
      </x:c>
    </x:row>
    <x:row r="14">
      <x:c r="A14" t="str">
        <x:v>Congo Rep</x:v>
      </x:c>
      <x:c r="B14" t="str">
        <x:v>Republic of the Congo</x:v>
      </x:c>
      <x:c r="C14" t="n">
        <x:v>213</x:v>
      </x:c>
      <x:c r="D14" t="n">
        <x:v>226</x:v>
      </x:c>
      <x:c r="E14" t="n">
        <x:v>226</x:v>
      </x:c>
      <x:c r="F14" t="n">
        <x:v>226</x:v>
      </x:c>
      <x:c r="G14" t="n">
        <x:v>227</x:v>
      </x:c>
      <x:c r="H14" t="n">
        <x:v>227</x:v>
      </x:c>
      <x:c r="I14" t="n">
        <x:v>227</x:v>
      </x:c>
      <x:c r="J14" t="n">
        <x:v>227</x:v>
      </x:c>
      <x:c r="K14" t="n">
        <x:v>227</x:v>
      </x:c>
      <x:c r="L14" t="n">
        <x:v>227</x:v>
      </x:c>
    </x:row>
    <x:row r="15">
      <x:c r="A15" t="str">
        <x:v>Cote d Ivoire</x:v>
      </x:c>
      <x:c r="B15" t="str">
        <x:v>Côte d'Ivoire</x:v>
      </x:c>
      <x:c r="C15" t="n">
        <x:v>604</x:v>
      </x:c>
      <x:c r="D15" t="n">
        <x:v>880</x:v>
      </x:c>
      <x:c r="E15" t="n">
        <x:v>881</x:v>
      </x:c>
      <x:c r="F15" t="n">
        <x:v>883</x:v>
      </x:c>
      <x:c r="G15" t="n">
        <x:v>885</x:v>
      </x:c>
      <x:c r="H15" t="n">
        <x:v>887</x:v>
      </x:c>
      <x:c r="I15" t="n">
        <x:v>888</x:v>
      </x:c>
      <x:c r="J15" t="n">
        <x:v>918</x:v>
      </x:c>
      <x:c r="K15" t="n">
        <x:v>1029</x:v>
      </x:c>
      <x:c r="L15" t="n">
        <x:v>1029</x:v>
      </x:c>
    </x:row>
    <x:row r="16">
      <x:c r="A16" t="str">
        <x:v>Djibouti</x:v>
      </x:c>
      <x:c r="B16" t="str">
        <x:v>Djibouti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20</x:v>
      </x:c>
      <x:c r="I16" t="n">
        <x:v>20</x:v>
      </x:c>
      <x:c r="J16" t="n">
        <x:v>80</x:v>
      </x:c>
      <x:c r="K16" t="n">
        <x:v>80</x:v>
      </x:c>
      <x:c r="L16" t="n">
        <x:v>81</x:v>
      </x:c>
    </x:row>
    <x:row r="17">
      <x:c r="A17" t="str">
        <x:v>Egypt</x:v>
      </x:c>
      <x:c r="B17" t="str">
        <x:v>Egypt</x:v>
      </x:c>
      <x:c r="C17" t="n">
        <x:v>3681</x:v>
      </x:c>
      <x:c r="D17" t="n">
        <x:v>3802</x:v>
      </x:c>
      <x:c r="E17" t="n">
        <x:v>4793</x:v>
      </x:c>
      <x:c r="F17" t="n">
        <x:v>5690</x:v>
      </x:c>
      <x:c r="G17" t="n">
        <x:v>5934</x:v>
      </x:c>
      <x:c r="H17" t="n">
        <x:v>6258</x:v>
      </x:c>
      <x:c r="I17" t="n">
        <x:v>6286</x:v>
      </x:c>
      <x:c r="J17" t="n">
        <x:v>6673</x:v>
      </x:c>
      <x:c r="K17" t="n">
        <x:v>7716</x:v>
      </x:c>
      <x:c r="L17" t="n">
        <x:v>9258</x:v>
      </x:c>
    </x:row>
    <x:row r="18">
      <x:c r="A18" t="str">
        <x:v>Eq Guinea</x:v>
      </x:c>
      <x:c r="B18" t="str">
        <x:v>Equatorial Guinea</x:v>
      </x:c>
      <x:c r="C18" t="n">
        <x:v>126</x:v>
      </x:c>
      <x:c r="D18" t="n">
        <x:v>126</x:v>
      </x:c>
      <x:c r="E18" t="n">
        <x:v>127</x:v>
      </x:c>
      <x:c r="F18" t="n">
        <x:v>127</x:v>
      </x:c>
      <x:c r="G18" t="n">
        <x:v>127</x:v>
      </x:c>
      <x:c r="H18" t="n">
        <x:v>127</x:v>
      </x:c>
      <x:c r="I18" t="n">
        <x:v>127</x:v>
      </x:c>
      <x:c r="J18" t="n">
        <x:v>127</x:v>
      </x:c>
      <x:c r="K18" t="n">
        <x:v>127</x:v>
      </x:c>
      <x:c r="L18" t="n">
        <x:v>127</x:v>
      </x:c>
    </x:row>
    <x:row r="19">
      <x:c r="A19" t="str">
        <x:v>Eritrea</x:v>
      </x:c>
      <x:c r="B19" t="str">
        <x:v>Eritrea</x:v>
      </x:c>
      <x:c r="C19" t="n">
        <x:v>10</x:v>
      </x:c>
      <x:c r="D19" t="n">
        <x:v>24</x:v>
      </x:c>
      <x:c r="E19" t="n">
        <x:v>27</x:v>
      </x:c>
      <x:c r="F19" t="n">
        <x:v>27</x:v>
      </x:c>
      <x:c r="G19" t="n">
        <x:v>27</x:v>
      </x:c>
      <x:c r="H19" t="n">
        <x:v>26</x:v>
      </x:c>
      <x:c r="I19" t="n">
        <x:v>26</x:v>
      </x:c>
      <x:c r="J19" t="n">
        <x:v>26</x:v>
      </x:c>
      <x:c r="K19" t="n">
        <x:v>26</x:v>
      </x:c>
      <x:c r="L19" t="n">
        <x:v>26</x:v>
      </x:c>
    </x:row>
    <x:row r="20">
      <x:c r="A20" t="str">
        <x:v>Eswatini</x:v>
      </x:c>
      <x:c r="B20" t="str">
        <x:v>Eswatini</x:v>
      </x:c>
      <x:c r="C20" t="n">
        <x:v>168</x:v>
      </x:c>
      <x:c r="D20" t="n">
        <x:v>168</x:v>
      </x:c>
      <x:c r="E20" t="n">
        <x:v>168</x:v>
      </x:c>
      <x:c r="F20" t="n">
        <x:v>168</x:v>
      </x:c>
      <x:c r="G20" t="n">
        <x:v>168</x:v>
      </x:c>
      <x:c r="H20" t="n">
        <x:v>178</x:v>
      </x:c>
      <x:c r="I20" t="n">
        <x:v>178</x:v>
      </x:c>
      <x:c r="J20" t="n">
        <x:v>197</x:v>
      </x:c>
      <x:c r="K20" t="n">
        <x:v>197</x:v>
      </x:c>
      <x:c r="L20" t="n">
        <x:v>197</x:v>
      </x:c>
    </x:row>
    <x:row r="21">
      <x:c r="A21" t="str">
        <x:v>Ethiopia</x:v>
      </x:c>
      <x:c r="B21" t="str">
        <x:v>Ethiopia</x:v>
      </x:c>
      <x:c r="C21" t="n">
        <x:v>2649</x:v>
      </x:c>
      <x:c r="D21" t="n">
        <x:v>4366</x:v>
      </x:c>
      <x:c r="E21" t="n">
        <x:v>4451</x:v>
      </x:c>
      <x:c r="F21" t="n">
        <x:v>4451</x:v>
      </x:c>
      <x:c r="G21" t="n">
        <x:v>4713</x:v>
      </x:c>
      <x:c r="H21" t="n">
        <x:v>4759</x:v>
      </x:c>
      <x:c r="I21" t="n">
        <x:v>5589</x:v>
      </x:c>
      <x:c r="J21" t="n">
        <x:v>5570</x:v>
      </x:c>
      <x:c r="K21" t="n">
        <x:v>5989</x:v>
      </x:c>
      <x:c r="L21" t="n">
        <x:v>10082</x:v>
      </x:c>
    </x:row>
    <x:row r="22">
      <x:c r="A22" t="str">
        <x:v>Gabon</x:v>
      </x:c>
      <x:c r="B22" t="str">
        <x:v>Gabon</x:v>
      </x:c>
      <x:c r="C22" t="n">
        <x:v>172</x:v>
      </x:c>
      <x:c r="D22" t="n">
        <x:v>173</x:v>
      </x:c>
      <x:c r="E22" t="n">
        <x:v>173</x:v>
      </x:c>
      <x:c r="F22" t="n">
        <x:v>321</x:v>
      </x:c>
      <x:c r="G22" t="n">
        <x:v>321</x:v>
      </x:c>
      <x:c r="H22" t="n">
        <x:v>321</x:v>
      </x:c>
      <x:c r="I22" t="n">
        <x:v>321</x:v>
      </x:c>
      <x:c r="J22" t="n">
        <x:v>321</x:v>
      </x:c>
      <x:c r="K22" t="n">
        <x:v>332</x:v>
      </x:c>
      <x:c r="L22" t="n">
        <x:v>332</x:v>
      </x:c>
    </x:row>
    <x:row r="23">
      <x:c r="A23" t="str">
        <x:v>Gambia</x:v>
      </x:c>
      <x:c r="B23" t="str">
        <x:v>Gambia</x:v>
      </x:c>
      <x:c r="C23" t="n">
        <x:v>2</x:v>
      </x:c>
      <x:c r="D23" t="n">
        <x:v>2</x:v>
      </x:c>
      <x:c r="E23" t="n">
        <x:v>3</x:v>
      </x:c>
      <x:c r="F23" t="n">
        <x:v>3</x:v>
      </x:c>
      <x:c r="G23" t="n">
        <x:v>3</x:v>
      </x:c>
      <x:c r="H23" t="n">
        <x:v>3</x:v>
      </x:c>
      <x:c r="I23" t="n">
        <x:v>3</x:v>
      </x:c>
      <x:c r="J23" t="n">
        <x:v>3</x:v>
      </x:c>
      <x:c r="K23" t="n">
        <x:v>26</x:v>
      </x:c>
      <x:c r="L23" t="n">
        <x:v>26</x:v>
      </x:c>
    </x:row>
    <x:row r="24">
      <x:c r="A24" t="str">
        <x:v>Ghana</x:v>
      </x:c>
      <x:c r="B24" t="str">
        <x:v>Ghana</x:v>
      </x:c>
      <x:c r="C24" t="n">
        <x:v>1630</x:v>
      </x:c>
      <x:c r="D24" t="n">
        <x:v>1635</x:v>
      </x:c>
      <x:c r="E24" t="n">
        <x:v>1665</x:v>
      </x:c>
      <x:c r="F24" t="n">
        <x:v>1675</x:v>
      </x:c>
      <x:c r="G24" t="n">
        <x:v>1698</x:v>
      </x:c>
      <x:c r="H24" t="n">
        <x:v>1756</x:v>
      </x:c>
      <x:c r="I24" t="n">
        <x:v>1759</x:v>
      </x:c>
      <x:c r="J24" t="n">
        <x:v>1778</x:v>
      </x:c>
      <x:c r="K24" t="n">
        <x:v>1778</x:v>
      </x:c>
      <x:c r="L24" t="n">
        <x:v>1778</x:v>
      </x:c>
    </x:row>
    <x:row r="25">
      <x:c r="A25" t="str">
        <x:v>Guinea</x:v>
      </x:c>
      <x:c r="B25" t="str">
        <x:v>Guinea</x:v>
      </x:c>
      <x:c r="C25" t="n">
        <x:v>369</x:v>
      </x:c>
      <x:c r="D25" t="n">
        <x:v>370</x:v>
      </x:c>
      <x:c r="E25" t="n">
        <x:v>382</x:v>
      </x:c>
      <x:c r="F25" t="n">
        <x:v>378</x:v>
      </x:c>
      <x:c r="G25" t="n">
        <x:v>604</x:v>
      </x:c>
      <x:c r="H25" t="n">
        <x:v>829</x:v>
      </x:c>
      <x:c r="I25" t="n">
        <x:v>830</x:v>
      </x:c>
      <x:c r="J25" t="n">
        <x:v>831</x:v>
      </x:c>
      <x:c r="K25" t="n">
        <x:v>831</x:v>
      </x:c>
      <x:c r="L25" t="n">
        <x:v>832</x:v>
      </x:c>
    </x:row>
    <x:row r="26">
      <x:c r="A26" t="str">
        <x:v>Guinea Bissau</x:v>
      </x:c>
      <x:c r="B26" t="str">
        <x:v>Guinea-Bissau</x:v>
      </x:c>
      <x:c r="C26" t="n">
        <x:v>1</x:v>
      </x:c>
      <x:c r="D26" t="n">
        <x:v>1</x:v>
      </x:c>
      <x:c r="E26" t="n">
        <x:v>2</x:v>
      </x:c>
      <x:c r="F26" t="n">
        <x:v>2</x:v>
      </x:c>
      <x:c r="G26" t="n">
        <x:v>2</x:v>
      </x:c>
      <x:c r="H26" t="n">
        <x:v>2</x:v>
      </x:c>
      <x:c r="I26" t="n">
        <x:v>2</x:v>
      </x:c>
      <x:c r="J26" t="n">
        <x:v>2</x:v>
      </x:c>
      <x:c r="K26" t="n">
        <x:v>3</x:v>
      </x:c>
      <x:c r="L26" t="n">
        <x:v>3</x:v>
      </x:c>
    </x:row>
    <x:row r="27">
      <x:c r="A27" t="str">
        <x:v>Kenya</x:v>
      </x:c>
      <x:c r="B27" t="str">
        <x:v>Kenya</x:v>
      </x:c>
      <x:c r="C27" t="n">
        <x:v>1625</x:v>
      </x:c>
      <x:c r="D27" t="n">
        <x:v>1663</x:v>
      </x:c>
      <x:c r="E27" t="n">
        <x:v>2045</x:v>
      </x:c>
      <x:c r="F27" t="n">
        <x:v>2063</x:v>
      </x:c>
      <x:c r="G27" t="n">
        <x:v>2262</x:v>
      </x:c>
      <x:c r="H27" t="n">
        <x:v>2429</x:v>
      </x:c>
      <x:c r="I27" t="n">
        <x:v>2610</x:v>
      </x:c>
      <x:c r="J27" t="n">
        <x:v>2887</x:v>
      </x:c>
      <x:c r="K27" t="n">
        <x:v>2993</x:v>
      </x:c>
      <x:c r="L27" t="n">
        <x:v>2979</x:v>
      </x:c>
    </x:row>
    <x:row r="28">
      <x:c r="A28" t="str">
        <x:v>Lesotho</x:v>
      </x:c>
      <x:c r="B28" t="str">
        <x:v>Lesotho</x:v>
      </x:c>
      <x:c r="C28" t="n">
        <x:v>75</x:v>
      </x:c>
      <x:c r="D28" t="n">
        <x:v>75</x:v>
      </x:c>
      <x:c r="E28" t="n">
        <x:v>75</x:v>
      </x:c>
      <x:c r="F28" t="n">
        <x:v>75</x:v>
      </x:c>
      <x:c r="G28" t="n">
        <x:v>75</x:v>
      </x:c>
      <x:c r="H28" t="n">
        <x:v>75</x:v>
      </x:c>
      <x:c r="I28" t="n">
        <x:v>75</x:v>
      </x:c>
      <x:c r="J28" t="n">
        <x:v>103</x:v>
      </x:c>
      <x:c r="K28" t="n">
        <x:v>104</x:v>
      </x:c>
      <x:c r="L28" t="n">
        <x:v>104</x:v>
      </x:c>
    </x:row>
    <x:row r="29">
      <x:c r="A29" t="str">
        <x:v>Liberia</x:v>
      </x:c>
      <x:c r="B29" t="str">
        <x:v>Liberia</x:v>
      </x:c>
      <x:c r="C29" t="n">
        <x:v>27</x:v>
      </x:c>
      <x:c r="D29" t="n">
        <x:v>94</x:v>
      </x:c>
      <x:c r="E29" t="n">
        <x:v>94</x:v>
      </x:c>
      <x:c r="F29" t="n">
        <x:v>95</x:v>
      </x:c>
      <x:c r="G29" t="n">
        <x:v>96</x:v>
      </x:c>
      <x:c r="H29" t="n">
        <x:v>96</x:v>
      </x:c>
      <x:c r="I29" t="n">
        <x:v>97</x:v>
      </x:c>
      <x:c r="J29" t="n">
        <x:v>97</x:v>
      </x:c>
      <x:c r="K29" t="n">
        <x:v>97</x:v>
      </x:c>
      <x:c r="L29" t="n">
        <x:v>99</x:v>
      </x:c>
    </x:row>
    <x:row r="30">
      <x:c r="A30" t="str">
        <x:v>Libya</x:v>
      </x:c>
      <x:c r="B30" t="str">
        <x:v>Libya</x:v>
      </x:c>
      <x:c r="C30" t="n">
        <x:v>5</x:v>
      </x:c>
      <x:c r="D30" t="n">
        <x:v>5</x:v>
      </x:c>
      <x:c r="E30" t="n">
        <x:v>5</x:v>
      </x:c>
      <x:c r="F30" t="n">
        <x:v>5</x:v>
      </x:c>
      <x:c r="G30" t="n">
        <x:v>5</x:v>
      </x:c>
      <x:c r="H30" t="n">
        <x:v>6</x:v>
      </x:c>
      <x:c r="I30" t="n">
        <x:v>6</x:v>
      </x:c>
      <x:c r="J30" t="n">
        <x:v>8</x:v>
      </x:c>
      <x:c r="K30" t="n">
        <x:v>8</x:v>
      </x:c>
      <x:c r="L30" t="n">
        <x:v>9</x:v>
      </x:c>
    </x:row>
    <x:row r="31">
      <x:c r="A31" t="str">
        <x:v>Madagascar</x:v>
      </x:c>
      <x:c r="B31" t="str">
        <x:v>Madagascar</x:v>
      </x:c>
      <x:c r="C31" t="n">
        <x:v>165</x:v>
      </x:c>
      <x:c r="D31" t="n">
        <x:v>166</x:v>
      </x:c>
      <x:c r="E31" t="n">
        <x:v>186</x:v>
      </x:c>
      <x:c r="F31" t="n">
        <x:v>188</x:v>
      </x:c>
      <x:c r="G31" t="n">
        <x:v>189</x:v>
      </x:c>
      <x:c r="H31" t="n">
        <x:v>189</x:v>
      </x:c>
      <x:c r="I31" t="n">
        <x:v>245</x:v>
      </x:c>
      <x:c r="J31" t="n">
        <x:v>251</x:v>
      </x:c>
      <x:c r="K31" t="n">
        <x:v>252</x:v>
      </x:c>
      <x:c r="L31" t="n">
        <x:v>256</x:v>
      </x:c>
    </x:row>
    <x:row r="32">
      <x:c r="A32" t="str">
        <x:v>Malawi</x:v>
      </x:c>
      <x:c r="B32" t="str">
        <x:v>Malawi</x:v>
      </x:c>
      <x:c r="C32" t="n">
        <x:v>392</x:v>
      </x:c>
      <x:c r="D32" t="n">
        <x:v>393</x:v>
      </x:c>
      <x:c r="E32" t="n">
        <x:v>393</x:v>
      </x:c>
      <x:c r="F32" t="n">
        <x:v>393</x:v>
      </x:c>
      <x:c r="G32" t="n">
        <x:v>395</x:v>
      </x:c>
      <x:c r="H32" t="n">
        <x:v>475</x:v>
      </x:c>
      <x:c r="I32" t="n">
        <x:v>516</x:v>
      </x:c>
      <x:c r="J32" t="n">
        <x:v>516</x:v>
      </x:c>
      <x:c r="K32" t="n">
        <x:v>516</x:v>
      </x:c>
      <x:c r="L32" t="n">
        <x:v>516</x:v>
      </x:c>
    </x:row>
    <x:row r="33">
      <x:c r="A33" t="str">
        <x:v>Mali</x:v>
      </x:c>
      <x:c r="B33" t="str">
        <x:v>Mali</x:v>
      </x:c>
      <x:c r="C33" t="n">
        <x:v>328</x:v>
      </x:c>
      <x:c r="D33" t="n">
        <x:v>366</x:v>
      </x:c>
      <x:c r="E33" t="n">
        <x:v>366</x:v>
      </x:c>
      <x:c r="F33" t="n">
        <x:v>367</x:v>
      </x:c>
      <x:c r="G33" t="n">
        <x:v>418</x:v>
      </x:c>
      <x:c r="H33" t="n">
        <x:v>449</x:v>
      </x:c>
      <x:c r="I33" t="n">
        <x:v>593</x:v>
      </x:c>
      <x:c r="J33" t="n">
        <x:v>593</x:v>
      </x:c>
      <x:c r="K33" t="n">
        <x:v>633</x:v>
      </x:c>
      <x:c r="L33" t="n">
        <x:v>633</x:v>
      </x:c>
    </x:row>
    <x:row r="34">
      <x:c r="A34" t="str">
        <x:v>Mauritania</x:v>
      </x:c>
      <x:c r="B34" t="str">
        <x:v>Mauritania</x:v>
      </x:c>
      <x:c r="C34" t="n">
        <x:v>69</x:v>
      </x:c>
      <x:c r="D34" t="n">
        <x:v>69</x:v>
      </x:c>
      <x:c r="E34" t="n">
        <x:v>121</x:v>
      </x:c>
      <x:c r="F34" t="n">
        <x:v>122</x:v>
      </x:c>
      <x:c r="G34" t="n">
        <x:v>122</x:v>
      </x:c>
      <x:c r="H34" t="n">
        <x:v>122</x:v>
      </x:c>
      <x:c r="I34" t="n">
        <x:v>123</x:v>
      </x:c>
      <x:c r="J34" t="n">
        <x:v>260</x:v>
      </x:c>
      <x:c r="K34" t="n">
        <x:v>294</x:v>
      </x:c>
      <x:c r="L34" t="n">
        <x:v>306</x:v>
      </x:c>
    </x:row>
    <x:row r="35">
      <x:c r="A35" t="str">
        <x:v>Mauritius</x:v>
      </x:c>
      <x:c r="B35" t="str">
        <x:v>Mauritius</x:v>
      </x:c>
      <x:c r="C35" t="n">
        <x:v>187</x:v>
      </x:c>
      <x:c r="D35" t="n">
        <x:v>192</x:v>
      </x:c>
      <x:c r="E35" t="n">
        <x:v>236</x:v>
      </x:c>
      <x:c r="F35" t="n">
        <x:v>262</x:v>
      </x:c>
      <x:c r="G35" t="n">
        <x:v>273</x:v>
      </x:c>
      <x:c r="H35" t="n">
        <x:v>279</x:v>
      </x:c>
      <x:c r="I35" t="n">
        <x:v>279</x:v>
      </x:c>
      <x:c r="J35" t="n">
        <x:v>303</x:v>
      </x:c>
      <x:c r="K35" t="n">
        <x:v>318</x:v>
      </x:c>
      <x:c r="L35" t="n">
        <x:v>318</x:v>
      </x:c>
    </x:row>
    <x:row r="36">
      <x:c r="A36" t="str">
        <x:v>Morocco</x:v>
      </x:c>
      <x:c r="B36" t="str">
        <x:v>Morocco</x:v>
      </x:c>
      <x:c r="C36" t="n">
        <x:v>2417</x:v>
      </x:c>
      <x:c r="D36" t="n">
        <x:v>2539</x:v>
      </x:c>
      <x:c r="E36" t="n">
        <x:v>3272</x:v>
      </x:c>
      <x:c r="F36" t="n">
        <x:v>3272</x:v>
      </x:c>
      <x:c r="G36" t="n">
        <x:v>3522</x:v>
      </x:c>
      <x:c r="H36" t="n">
        <x:v>3638</x:v>
      </x:c>
      <x:c r="I36" t="n">
        <x:v>3725</x:v>
      </x:c>
      <x:c r="J36" t="n">
        <x:v>4243</x:v>
      </x:c>
      <x:c r="K36" t="n">
        <x:v>4659</x:v>
      </x:c>
      <x:c r="L36" t="n">
        <x:v>4851</x:v>
      </x:c>
    </x:row>
    <x:row r="37">
      <x:c r="A37" t="str">
        <x:v>Mozambique</x:v>
      </x:c>
      <x:c r="B37" t="str">
        <x:v>Mozambique</x:v>
      </x:c>
      <x:c r="C37" t="n">
        <x:v>2270</x:v>
      </x:c>
      <x:c r="D37" t="n">
        <x:v>2270</x:v>
      </x:c>
      <x:c r="E37" t="n">
        <x:v>2271</x:v>
      </x:c>
      <x:c r="F37" t="n">
        <x:v>2316</x:v>
      </x:c>
      <x:c r="G37" t="n">
        <x:v>2323</x:v>
      </x:c>
      <x:c r="H37" t="n">
        <x:v>2332</x:v>
      </x:c>
      <x:c r="I37" t="n">
        <x:v>2383</x:v>
      </x:c>
      <x:c r="J37" t="n">
        <x:v>2430</x:v>
      </x:c>
      <x:c r="K37" t="n">
        <x:v>2444</x:v>
      </x:c>
      <x:c r="L37" t="n">
        <x:v>2444</x:v>
      </x:c>
    </x:row>
    <x:row r="38">
      <x:c r="A38" t="str">
        <x:v>Namibia</x:v>
      </x:c>
      <x:c r="B38" t="str">
        <x:v>Namibia</x:v>
      </x:c>
      <x:c r="C38" t="n">
        <x:v>374</x:v>
      </x:c>
      <x:c r="D38" t="n">
        <x:v>420</x:v>
      </x:c>
      <x:c r="E38" t="n">
        <x:v>478</x:v>
      </x:c>
      <x:c r="F38" t="n">
        <x:v>541</x:v>
      </x:c>
      <x:c r="G38" t="n">
        <x:v>546</x:v>
      </x:c>
      <x:c r="H38" t="n">
        <x:v>549</x:v>
      </x:c>
      <x:c r="I38" t="n">
        <x:v>604</x:v>
      </x:c>
      <x:c r="J38" t="n">
        <x:v>598</x:v>
      </x:c>
      <x:c r="K38" t="n">
        <x:v>598</x:v>
      </x:c>
      <x:c r="L38" t="n">
        <x:v>747</x:v>
      </x:c>
    </x:row>
    <x:row r="39">
      <x:c r="A39" t="str">
        <x:v>Niger</x:v>
      </x:c>
      <x:c r="B39" t="str">
        <x:v>Niger</x:v>
      </x:c>
      <x:c r="C39" t="n">
        <x:v>7</x:v>
      </x:c>
      <x:c r="D39" t="n">
        <x:v>7</x:v>
      </x:c>
      <x:c r="E39" t="n">
        <x:v>14</x:v>
      </x:c>
      <x:c r="F39" t="n">
        <x:v>14</x:v>
      </x:c>
      <x:c r="G39" t="n">
        <x:v>15</x:v>
      </x:c>
      <x:c r="H39" t="n">
        <x:v>15</x:v>
      </x:c>
      <x:c r="I39" t="n">
        <x:v>50</x:v>
      </x:c>
      <x:c r="J39" t="n">
        <x:v>83</x:v>
      </x:c>
      <x:c r="K39" t="n">
        <x:v>83</x:v>
      </x:c>
      <x:c r="L39" t="n">
        <x:v>83</x:v>
      </x:c>
    </x:row>
    <x:row r="40">
      <x:c r="A40" t="str">
        <x:v>Nigeria</x:v>
      </x:c>
      <x:c r="B40" t="str">
        <x:v>Nigeria</x:v>
      </x:c>
      <x:c r="C40" t="n">
        <x:v>2141</x:v>
      </x:c>
      <x:c r="D40" t="n">
        <x:v>2147</x:v>
      </x:c>
      <x:c r="E40" t="n">
        <x:v>2151</x:v>
      </x:c>
      <x:c r="F40" t="n">
        <x:v>2170</x:v>
      </x:c>
      <x:c r="G40" t="n">
        <x:v>2199</x:v>
      </x:c>
      <x:c r="H40" t="n">
        <x:v>2230</x:v>
      </x:c>
      <x:c r="I40" t="n">
        <x:v>2263</x:v>
      </x:c>
      <x:c r="J40" t="n">
        <x:v>3093</x:v>
      </x:c>
      <x:c r="K40" t="n">
        <x:v>3155</x:v>
      </x:c>
      <x:c r="L40" t="n">
        <x:v>3206</x:v>
      </x:c>
    </x:row>
    <x:row r="41">
      <x:c r="A41" t="str">
        <x:v>Rwanda</x:v>
      </x:c>
      <x:c r="B41" t="str">
        <x:v>Rwanda</x:v>
      </x:c>
      <x:c r="C41" t="n">
        <x:v>108</x:v>
      </x:c>
      <x:c r="D41" t="n">
        <x:v>111</x:v>
      </x:c>
      <x:c r="E41" t="n">
        <x:v>111</x:v>
      </x:c>
      <x:c r="F41" t="n">
        <x:v>123</x:v>
      </x:c>
      <x:c r="G41" t="n">
        <x:v>133</x:v>
      </x:c>
      <x:c r="H41" t="n">
        <x:v>134</x:v>
      </x:c>
      <x:c r="I41" t="n">
        <x:v>140</x:v>
      </x:c>
      <x:c r="J41" t="n">
        <x:v>140</x:v>
      </x:c>
      <x:c r="K41" t="n">
        <x:v>170</x:v>
      </x:c>
      <x:c r="L41" t="n">
        <x:v>127</x:v>
      </x:c>
    </x:row>
    <x:row r="42">
      <x:c r="A42" t="str">
        <x:v>Sao Tome Prn</x:v>
      </x:c>
      <x:c r="B42" t="str">
        <x:v>Sao Tome and Principe</x:v>
      </x:c>
      <x:c r="C42" t="n">
        <x:v>2</x:v>
      </x:c>
      <x:c r="D42" t="n">
        <x:v>2</x:v>
      </x:c>
      <x:c r="E42" t="n">
        <x:v>2</x:v>
      </x:c>
      <x:c r="F42" t="n">
        <x:v>2</x:v>
      </x:c>
      <x:c r="G42" t="n">
        <x:v>2</x:v>
      </x:c>
      <x:c r="H42" t="n">
        <x:v>2</x:v>
      </x:c>
      <x:c r="I42" t="n">
        <x:v>2</x:v>
      </x:c>
      <x:c r="J42" t="n">
        <x:v>4</x:v>
      </x:c>
      <x:c r="K42" t="n">
        <x:v>4</x:v>
      </x:c>
      <x:c r="L42" t="n">
        <x:v>5</x:v>
      </x:c>
    </x:row>
    <x:row r="43">
      <x:c r="A43" t="str">
        <x:v>Senegal</x:v>
      </x:c>
      <x:c r="B43" t="str">
        <x:v>Senegal</x:v>
      </x:c>
      <x:c r="C43" t="n">
        <x:v>101</x:v>
      </x:c>
      <x:c r="D43" t="n">
        <x:v>142</x:v>
      </x:c>
      <x:c r="E43" t="n">
        <x:v>185</x:v>
      </x:c>
      <x:c r="F43" t="n">
        <x:v>266</x:v>
      </x:c>
      <x:c r="G43" t="n">
        <x:v>370</x:v>
      </x:c>
      <x:c r="H43" t="n">
        <x:v>438</x:v>
      </x:c>
      <x:c r="I43" t="n">
        <x:v>440</x:v>
      </x:c>
      <x:c r="J43" t="n">
        <x:v>441</x:v>
      </x:c>
      <x:c r="K43" t="n">
        <x:v>481</x:v>
      </x:c>
      <x:c r="L43" t="n">
        <x:v>625</x:v>
      </x:c>
    </x:row>
    <x:row r="44">
      <x:c r="A44" t="str">
        <x:v>Seychelles</x:v>
      </x:c>
      <x:c r="B44" t="str">
        <x:v>Seychelles</x:v>
      </x:c>
      <x:c r="C44" t="n">
        <x:v>8</x:v>
      </x:c>
      <x:c r="D44" t="n">
        <x:v>9</x:v>
      </x:c>
      <x:c r="E44" t="n">
        <x:v>10</x:v>
      </x:c>
      <x:c r="F44" t="n">
        <x:v>10</x:v>
      </x:c>
      <x:c r="G44" t="n">
        <x:v>13</x:v>
      </x:c>
      <x:c r="H44" t="n">
        <x:v>22</x:v>
      </x:c>
      <x:c r="I44" t="n">
        <x:v>23</x:v>
      </x:c>
      <x:c r="J44" t="n">
        <x:v>24</x:v>
      </x:c>
      <x:c r="K44" t="n">
        <x:v>25</x:v>
      </x:c>
      <x:c r="L44" t="n">
        <x:v>25</x:v>
      </x:c>
    </x:row>
    <x:row r="45">
      <x:c r="A45" t="str">
        <x:v>Sierra Leone</x:v>
      </x:c>
      <x:c r="B45" t="str">
        <x:v>Sierra Leone</x:v>
      </x:c>
      <x:c r="C45" t="n">
        <x:v>91</x:v>
      </x:c>
      <x:c r="D45" t="n">
        <x:v>96</x:v>
      </x:c>
      <x:c r="E45" t="n">
        <x:v>96</x:v>
      </x:c>
      <x:c r="F45" t="n">
        <x:v>98</x:v>
      </x:c>
      <x:c r="G45" t="n">
        <x:v>99</x:v>
      </x:c>
      <x:c r="H45" t="n">
        <x:v>106</x:v>
      </x:c>
      <x:c r="I45" t="n">
        <x:v>111</x:v>
      </x:c>
      <x:c r="J45" t="n">
        <x:v>112</x:v>
      </x:c>
      <x:c r="K45" t="n">
        <x:v>111</x:v>
      </x:c>
      <x:c r="L45" t="n">
        <x:v>112</x:v>
      </x:c>
    </x:row>
    <x:row r="46">
      <x:c r="A46" t="str">
        <x:v>Somalia</x:v>
      </x:c>
      <x:c r="B46" t="str">
        <x:v>Somalia</x:v>
      </x:c>
      <x:c r="C46" t="n">
        <x:v>4</x:v>
      </x:c>
      <x:c r="D46" t="n">
        <x:v>5</x:v>
      </x:c>
      <x:c r="E46" t="n">
        <x:v>6</x:v>
      </x:c>
      <x:c r="F46" t="n">
        <x:v>6</x:v>
      </x:c>
      <x:c r="G46" t="n">
        <x:v>14</x:v>
      </x:c>
      <x:c r="H46" t="n">
        <x:v>22</x:v>
      </x:c>
      <x:c r="I46" t="n">
        <x:v>46</x:v>
      </x:c>
      <x:c r="J46" t="n">
        <x:v>49</x:v>
      </x:c>
      <x:c r="K46" t="n">
        <x:v>49</x:v>
      </x:c>
      <x:c r="L46" t="n">
        <x:v>49</x:v>
      </x:c>
    </x:row>
    <x:row r="47">
      <x:c r="A47" t="str">
        <x:v>South Africa</x:v>
      </x:c>
      <x:c r="B47" t="str">
        <x:v>South Africa</x:v>
      </x:c>
      <x:c r="C47" t="n">
        <x:v>4379</x:v>
      </x:c>
      <x:c r="D47" t="n">
        <x:v>5307</x:v>
      </x:c>
      <x:c r="E47" t="n">
        <x:v>5611</x:v>
      </x:c>
      <x:c r="F47" t="n">
        <x:v>5912</x:v>
      </x:c>
      <x:c r="G47" t="n">
        <x:v>7234</x:v>
      </x:c>
      <x:c r="H47" t="n">
        <x:v>7717</x:v>
      </x:c>
      <x:c r="I47" t="n">
        <x:v>9884</x:v>
      </x:c>
      <x:c r="J47" t="n">
        <x:v>12464</x:v>
      </x:c>
      <x:c r="K47" t="n">
        <x:v>13517</x:v>
      </x:c>
      <x:c r="L47" t="n">
        <x:v>16598</x:v>
      </x:c>
    </x:row>
    <x:row r="48">
      <x:c r="A48" t="str">
        <x:v>South Sudan</x:v>
      </x:c>
      <x:c r="B48" t="str">
        <x:v>South Sudan</x:v>
      </x:c>
      <x:c r="C48" t="n">
        <x:v>1</x:v>
      </x:c>
      <x:c r="D48" t="n">
        <x:v>2</x:v>
      </x:c>
      <x:c r="E48" t="n">
        <x:v>2</x:v>
      </x:c>
      <x:c r="F48" t="n">
        <x:v>2</x:v>
      </x:c>
      <x:c r="G48" t="n">
        <x:v>4</x:v>
      </x:c>
      <x:c r="H48" t="n">
        <x:v>4</x:v>
      </x:c>
      <x:c r="I48" t="n">
        <x:v>4</x:v>
      </x:c>
      <x:c r="J48" t="n">
        <x:v>17</x:v>
      </x:c>
      <x:c r="K48" t="n">
        <x:v>31</x:v>
      </x:c>
      <x:c r="L48" t="n">
        <x:v>45</x:v>
      </x:c>
    </x:row>
    <x:row r="49">
      <x:c r="A49" t="str">
        <x:v>Sudan</x:v>
      </x:c>
      <x:c r="B49" t="str">
        <x:v>Sudan</x:v>
      </x:c>
      <x:c r="C49" t="n">
        <x:v>1547</x:v>
      </x:c>
      <x:c r="D49" t="n">
        <x:v>1557</x:v>
      </x:c>
      <x:c r="E49" t="n">
        <x:v>1741</x:v>
      </x:c>
      <x:c r="F49" t="n">
        <x:v>1762</x:v>
      </x:c>
      <x:c r="G49" t="n">
        <x:v>1799</x:v>
      </x:c>
      <x:c r="H49" t="n">
        <x:v>1817</x:v>
      </x:c>
      <x:c r="I49" t="n">
        <x:v>1871</x:v>
      </x:c>
      <x:c r="J49" t="n">
        <x:v>1871</x:v>
      </x:c>
      <x:c r="K49" t="n">
        <x:v>1871</x:v>
      </x:c>
      <x:c r="L49" t="n">
        <x:v>1871</x:v>
      </x:c>
    </x:row>
    <x:row r="50">
      <x:c r="A50" t="str">
        <x:v>Tanzania</x:v>
      </x:c>
      <x:c r="B50" t="str">
        <x:v>United Republic of Tanzania</x:v>
      </x:c>
      <x:c r="C50" t="n">
        <x:v>664</x:v>
      </x:c>
      <x:c r="D50" t="n">
        <x:v>668</x:v>
      </x:c>
      <x:c r="E50" t="n">
        <x:v>675</x:v>
      </x:c>
      <x:c r="F50" t="n">
        <x:v>672</x:v>
      </x:c>
      <x:c r="G50" t="n">
        <x:v>676</x:v>
      </x:c>
      <x:c r="H50" t="n">
        <x:v>678</x:v>
      </x:c>
      <x:c r="I50" t="n">
        <x:v>678</x:v>
      </x:c>
      <x:c r="J50" t="n">
        <x:v>759</x:v>
      </x:c>
      <x:c r="K50" t="n">
        <x:v>1470</x:v>
      </x:c>
      <x:c r="L50" t="n">
        <x:v>2880</x:v>
      </x:c>
    </x:row>
    <x:row r="51">
      <x:c r="A51" t="str">
        <x:v>Togo</x:v>
      </x:c>
      <x:c r="B51" t="str">
        <x:v>Togo</x:v>
      </x:c>
      <x:c r="C51" t="n">
        <x:v>67</x:v>
      </x:c>
      <x:c r="D51" t="n">
        <x:v>67</x:v>
      </x:c>
      <x:c r="E51" t="n">
        <x:v>70</x:v>
      </x:c>
      <x:c r="F51" t="n">
        <x:v>73</x:v>
      </x:c>
      <x:c r="G51" t="n">
        <x:v>77</x:v>
      </x:c>
      <x:c r="H51" t="n">
        <x:v>130</x:v>
      </x:c>
      <x:c r="I51" t="n">
        <x:v>132</x:v>
      </x:c>
      <x:c r="J51" t="n">
        <x:v>133</x:v>
      </x:c>
      <x:c r="K51" t="n">
        <x:v>133</x:v>
      </x:c>
      <x:c r="L51" t="n">
        <x:v>153</x:v>
      </x:c>
    </x:row>
    <x:row r="52">
      <x:c r="A52" t="str">
        <x:v>Tunisia</x:v>
      </x:c>
      <x:c r="B52" t="str">
        <x:v>Tunisia</x:v>
      </x:c>
      <x:c r="C52" t="n">
        <x:v>340</x:v>
      </x:c>
      <x:c r="D52" t="n">
        <x:v>349</x:v>
      </x:c>
      <x:c r="E52" t="n">
        <x:v>375</x:v>
      </x:c>
      <x:c r="F52" t="n">
        <x:v>391</x:v>
      </x:c>
      <x:c r="G52" t="n">
        <x:v>407</x:v>
      </x:c>
      <x:c r="H52" t="n">
        <x:v>408</x:v>
      </x:c>
      <x:c r="I52" t="n">
        <x:v>510</x:v>
      </x:c>
      <x:c r="J52" t="n">
        <x:v>819</x:v>
      </x:c>
      <x:c r="K52" t="n">
        <x:v>1086</x:v>
      </x:c>
      <x:c r="L52" t="n">
        <x:v>1206</x:v>
      </x:c>
    </x:row>
    <x:row r="53">
      <x:c r="A53" t="str">
        <x:v>Uganda</x:v>
      </x:c>
      <x:c r="B53" t="str">
        <x:v>Uganda</x:v>
      </x:c>
      <x:c r="C53" t="n">
        <x:v>775</x:v>
      </x:c>
      <x:c r="D53" t="n">
        <x:v>809</x:v>
      </x:c>
      <x:c r="E53" t="n">
        <x:v>892</x:v>
      </x:c>
      <x:c r="F53" t="n">
        <x:v>1165</x:v>
      </x:c>
      <x:c r="G53" t="n">
        <x:v>1202</x:v>
      </x:c>
      <x:c r="H53" t="n">
        <x:v>1262</x:v>
      </x:c>
      <x:c r="I53" t="n">
        <x:v>1288</x:v>
      </x:c>
      <x:c r="J53" t="n">
        <x:v>1720</x:v>
      </x:c>
      <x:c r="K53" t="n">
        <x:v>1920</x:v>
      </x:c>
      <x:c r="L53" t="n">
        <x:v>1926</x:v>
      </x:c>
    </x:row>
    <x:row r="54">
      <x:c r="A54" t="str">
        <x:v>Zambia</x:v>
      </x:c>
      <x:c r="B54" t="str">
        <x:v>Zambia</x:v>
      </x:c>
      <x:c r="C54" t="n">
        <x:v>2432</x:v>
      </x:c>
      <x:c r="D54" t="n">
        <x:v>2443</x:v>
      </x:c>
      <x:c r="E54" t="n">
        <x:v>2445</x:v>
      </x:c>
      <x:c r="F54" t="n">
        <x:v>2535</x:v>
      </x:c>
      <x:c r="G54" t="n">
        <x:v>2537</x:v>
      </x:c>
      <x:c r="H54" t="n">
        <x:v>2843</x:v>
      </x:c>
      <x:c r="I54" t="n">
        <x:v>3303</x:v>
      </x:c>
      <x:c r="J54" t="n">
        <x:v>3339</x:v>
      </x:c>
      <x:c r="K54" t="n">
        <x:v>3401</x:v>
      </x:c>
      <x:c r="L54" t="n">
        <x:v>3541</x:v>
      </x:c>
    </x:row>
    <x:row r="55">
      <x:c r="A55" t="str">
        <x:v>Zimbabwe</x:v>
      </x:c>
      <x:c r="B55" t="str">
        <x:v>Zimbabwe</x:v>
      </x:c>
      <x:c r="C55" t="n">
        <x:v>878</x:v>
      </x:c>
      <x:c r="D55" t="n">
        <x:v>884</x:v>
      </x:c>
      <x:c r="E55" t="n">
        <x:v>1188</x:v>
      </x:c>
      <x:c r="F55" t="n">
        <x:v>1191</x:v>
      </x:c>
      <x:c r="G55" t="n">
        <x:v>1193</x:v>
      </x:c>
      <x:c r="H55" t="n">
        <x:v>1207</x:v>
      </x:c>
      <x:c r="I55" t="n">
        <x:v>1220</x:v>
      </x:c>
      <x:c r="J55" t="n">
        <x:v>1225</x:v>
      </x:c>
      <x:c r="K55" t="n">
        <x:v>1285</x:v>
      </x:c>
      <x:c r="L55" t="n">
        <x:v>1285</x:v>
      </x:c>
    </x:row>
    <x:row r="57">
      <x:c r="A57" s="30" t="str">
        <x:v>Source</x:v>
      </x:c>
      <x:c r="B57" s="12" t="str">
        <x:v>IRENA (2026), Renewable energy statistics 2026; physical PDF page 15; unit: MW.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5.25" hidden="0" customWidth="1"/>
    <x:col min="4" max="4" width="5.25" hidden="0" customWidth="1"/>
    <x:col min="5" max="5" width="5.25" hidden="0" customWidth="1"/>
    <x:col min="6" max="6" width="5.25" hidden="0" customWidth="1"/>
    <x:col min="7" max="7" width="5.25" hidden="0" customWidth="1"/>
    <x:col min="8" max="8" width="5.25" hidden="0" customWidth="1"/>
    <x:col min="9" max="9" width="5.25" hidden="0" customWidth="1"/>
    <x:col min="10" max="10" width="5.25" hidden="0" customWidth="1"/>
    <x:col min="11" max="11" width="5.25" hidden="0" customWidth="1"/>
  </x:cols>
  <x:sheetData>
    <x:row r="1">
      <x:c r="A1" s="16" t="str">
        <x:v>IRENA Label</x:v>
      </x:c>
      <x:c r="B1" s="16" t="str">
        <x:v>Country</x:v>
      </x:c>
      <x:c r="C1" s="16" t="str">
        <x:v>2016</x:v>
      </x:c>
      <x:c r="D1" s="16" t="str">
        <x:v>2017</x:v>
      </x:c>
      <x:c r="E1" s="16" t="str">
        <x:v>2018</x:v>
      </x:c>
      <x:c r="F1" s="16" t="str">
        <x:v>2019</x:v>
      </x:c>
      <x:c r="G1" s="16" t="str">
        <x:v>2020</x:v>
      </x:c>
      <x:c r="H1" s="16" t="str">
        <x:v>2021</x:v>
      </x:c>
      <x:c r="I1" s="16" t="str">
        <x:v>2022</x:v>
      </x:c>
      <x:c r="J1" s="16" t="str">
        <x:v>2023</x:v>
      </x:c>
      <x:c r="K1" s="16" t="str">
        <x:v>2024</x:v>
      </x:c>
    </x:row>
    <x:row r="2">
      <x:c r="A2" t="str">
        <x:v>Algeria</x:v>
      </x:c>
      <x:c r="B2" t="str">
        <x:v>Algeria</x:v>
      </x:c>
      <x:c r="C2" t="n">
        <x:v>466</x:v>
      </x:c>
      <x:c r="D2" t="n">
        <x:v>503</x:v>
      </x:c>
      <x:c r="E2" t="n">
        <x:v>817</x:v>
      </x:c>
      <x:c r="F2" t="n">
        <x:v>875</x:v>
      </x:c>
      <x:c r="G2" t="n">
        <x:v>876</x:v>
      </x:c>
      <x:c r="H2" t="n">
        <x:v>815</x:v>
      </x:c>
      <x:c r="I2" t="n">
        <x:v>869</x:v>
      </x:c>
      <x:c r="J2" t="n">
        <x:v>926</x:v>
      </x:c>
      <x:c r="K2" t="n">
        <x:v>926</x:v>
      </x:c>
    </x:row>
    <x:row r="3">
      <x:c r="A3" t="str">
        <x:v>Angola</x:v>
      </x:c>
      <x:c r="B3" t="str">
        <x:v>Angola</x:v>
      </x:c>
      <x:c r="C3" t="n">
        <x:v>6442</x:v>
      </x:c>
      <x:c r="D3" t="n">
        <x:v>9045</x:v>
      </x:c>
      <x:c r="E3" t="n">
        <x:v>11524</x:v>
      </x:c>
      <x:c r="F3" t="n">
        <x:v>12764</x:v>
      </x:c>
      <x:c r="G3" t="n">
        <x:v>14004</x:v>
      </x:c>
      <x:c r="H3" t="n">
        <x:v>14004</x:v>
      </x:c>
      <x:c r="I3" t="n">
        <x:v>14407</x:v>
      </x:c>
      <x:c r="J3" t="n">
        <x:v>14443</x:v>
      </x:c>
      <x:c r="K3" t="n">
        <x:v>14516</x:v>
      </x:c>
    </x:row>
    <x:row r="4">
      <x:c r="A4" t="str">
        <x:v>Benin</x:v>
      </x:c>
      <x:c r="B4" t="str">
        <x:v>Benin</x:v>
      </x:c>
      <x:c r="C4" t="n">
        <x:v>4</x:v>
      </x:c>
      <x:c r="D4" t="n">
        <x:v>4</x:v>
      </x:c>
      <x:c r="E4" t="n">
        <x:v>4</x:v>
      </x:c>
      <x:c r="F4" t="n">
        <x:v>6</x:v>
      </x:c>
      <x:c r="G4" t="n">
        <x:v>7</x:v>
      </x:c>
      <x:c r="H4" t="n">
        <x:v>9</x:v>
      </x:c>
      <x:c r="I4" t="n">
        <x:v>46</x:v>
      </x:c>
      <x:c r="J4" t="n">
        <x:v>49</x:v>
      </x:c>
      <x:c r="K4" t="n">
        <x:v>49</x:v>
      </x:c>
    </x:row>
    <x:row r="5">
      <x:c r="A5" t="str">
        <x:v>Botswana</x:v>
      </x:c>
      <x:c r="B5" t="str">
        <x:v>Botswana</x:v>
      </x:c>
      <x:c r="C5" t="n">
        <x:v>5</x:v>
      </x:c>
      <x:c r="D5" t="n">
        <x:v>5</x:v>
      </x:c>
      <x:c r="E5" t="n">
        <x:v>6</x:v>
      </x:c>
      <x:c r="F5" t="n">
        <x:v>6</x:v>
      </x:c>
      <x:c r="G5" t="n">
        <x:v>6</x:v>
      </x:c>
      <x:c r="H5" t="n">
        <x:v>6</x:v>
      </x:c>
      <x:c r="I5" t="n">
        <x:v>6</x:v>
      </x:c>
      <x:c r="J5" t="n">
        <x:v>6</x:v>
      </x:c>
      <x:c r="K5" t="n">
        <x:v>6</x:v>
      </x:c>
    </x:row>
    <x:row r="6">
      <x:c r="A6" t="str">
        <x:v>Burkina Faso</x:v>
      </x:c>
      <x:c r="B6" t="str">
        <x:v>Burkina Faso</x:v>
      </x:c>
      <x:c r="C6" t="n">
        <x:v>145</x:v>
      </x:c>
      <x:c r="D6" t="n">
        <x:v>144</x:v>
      </x:c>
      <x:c r="E6" t="n">
        <x:v>177</x:v>
      </x:c>
      <x:c r="F6" t="n">
        <x:v>197</x:v>
      </x:c>
      <x:c r="G6" t="n">
        <x:v>203</x:v>
      </x:c>
      <x:c r="H6" t="n">
        <x:v>221</x:v>
      </x:c>
      <x:c r="I6" t="n">
        <x:v>176</x:v>
      </x:c>
      <x:c r="J6" t="n">
        <x:v>285</x:v>
      </x:c>
      <x:c r="K6" t="n">
        <x:v>461</x:v>
      </x:c>
    </x:row>
    <x:row r="7">
      <x:c r="A7" t="str">
        <x:v>Burundi</x:v>
      </x:c>
      <x:c r="B7" t="str">
        <x:v>Burundi</x:v>
      </x:c>
      <x:c r="C7" t="n">
        <x:v>255</x:v>
      </x:c>
      <x:c r="D7" t="n">
        <x:v>181</x:v>
      </x:c>
      <x:c r="E7" t="n">
        <x:v>212</x:v>
      </x:c>
      <x:c r="F7" t="n">
        <x:v>230</x:v>
      </x:c>
      <x:c r="G7" t="n">
        <x:v>276</x:v>
      </x:c>
      <x:c r="H7" t="n">
        <x:v>259</x:v>
      </x:c>
      <x:c r="I7" t="n">
        <x:v>298</x:v>
      </x:c>
      <x:c r="J7" t="n">
        <x:v>387</x:v>
      </x:c>
      <x:c r="K7" t="n">
        <x:v>553</x:v>
      </x:c>
    </x:row>
    <x:row r="8">
      <x:c r="A8" t="str">
        <x:v>Cabo Verde</x:v>
      </x:c>
      <x:c r="B8" t="str">
        <x:v>Cabo Verde</x:v>
      </x:c>
      <x:c r="C8" t="n">
        <x:v>83</x:v>
      </x:c>
      <x:c r="D8" t="n">
        <x:v>76</x:v>
      </x:c>
      <x:c r="E8" t="n">
        <x:v>91</x:v>
      </x:c>
      <x:c r="F8" t="n">
        <x:v>85</x:v>
      </x:c>
      <x:c r="G8" t="n">
        <x:v>73</x:v>
      </x:c>
      <x:c r="H8" t="n">
        <x:v>83</x:v>
      </x:c>
      <x:c r="I8" t="n">
        <x:v>81</x:v>
      </x:c>
      <x:c r="J8" t="n">
        <x:v>80</x:v>
      </x:c>
      <x:c r="K8" t="n">
        <x:v>50</x:v>
      </x:c>
    </x:row>
    <x:row r="9">
      <x:c r="A9" t="str">
        <x:v>Cameroon</x:v>
      </x:c>
      <x:c r="B9" t="str">
        <x:v>Cameroon</x:v>
      </x:c>
      <x:c r="C9" t="n">
        <x:v>4359</x:v>
      </x:c>
      <x:c r="D9" t="n">
        <x:v>4768</x:v>
      </x:c>
      <x:c r="E9" t="n">
        <x:v>5050</x:v>
      </x:c>
      <x:c r="F9" t="n">
        <x:v>5044</x:v>
      </x:c>
      <x:c r="G9" t="n">
        <x:v>5251</x:v>
      </x:c>
      <x:c r="H9" t="n">
        <x:v>5269</x:v>
      </x:c>
      <x:c r="I9" t="n">
        <x:v>5269</x:v>
      </x:c>
      <x:c r="J9" t="n">
        <x:v>5350</x:v>
      </x:c>
      <x:c r="K9" t="n">
        <x:v>5350</x:v>
      </x:c>
    </x:row>
    <x:row r="10">
      <x:c r="A10" t="str">
        <x:v>Cent Afr Rep</x:v>
      </x:c>
      <x:c r="B10" t="str">
        <x:v>Central African Republic</x:v>
      </x:c>
      <x:c r="C10" t="n">
        <x:v>132</x:v>
      </x:c>
      <x:c r="D10" t="n">
        <x:v>142</x:v>
      </x:c>
      <x:c r="E10" t="n">
        <x:v>142</x:v>
      </x:c>
      <x:c r="F10" t="n">
        <x:v>142</x:v>
      </x:c>
      <x:c r="G10" t="n">
        <x:v>142</x:v>
      </x:c>
      <x:c r="H10" t="n">
        <x:v>142</x:v>
      </x:c>
      <x:c r="I10" t="n">
        <x:v>142</x:v>
      </x:c>
      <x:c r="J10" t="n">
        <x:v>199</x:v>
      </x:c>
      <x:c r="K10" t="n">
        <x:v>199</x:v>
      </x:c>
    </x:row>
    <x:row r="11">
      <x:c r="A11" t="str">
        <x:v>Chad</x:v>
      </x:c>
      <x:c r="B11" t="str">
        <x:v>Chad</x:v>
      </x:c>
      <x:c r="C11" t="n">
        <x:v>15</x:v>
      </x:c>
      <x:c r="D11" t="n">
        <x:v>15</x:v>
      </x:c>
      <x:c r="E11" t="n">
        <x:v>16</x:v>
      </x:c>
      <x:c r="F11" t="n">
        <x:v>15</x:v>
      </x:c>
      <x:c r="G11" t="n">
        <x:v>16</x:v>
      </x:c>
      <x:c r="H11" t="n">
        <x:v>17</x:v>
      </x:c>
      <x:c r="I11" t="n">
        <x:v>17</x:v>
      </x:c>
      <x:c r="J11" t="n">
        <x:v>17</x:v>
      </x:c>
      <x:c r="K11" t="n">
        <x:v>17</x:v>
      </x:c>
    </x:row>
    <x:row r="12">
      <x:c r="A12" t="str">
        <x:v>Comoros</x:v>
      </x:c>
      <x:c r="B12" t="str">
        <x:v>Comoros</x:v>
      </x:c>
      <x:c r="C12" t="n">
        <x:v>1</x:v>
      </x:c>
      <x:c r="D12" t="n">
        <x:v>2</x:v>
      </x:c>
      <x:c r="E12" t="n">
        <x:v>2</x:v>
      </x:c>
      <x:c r="F12" t="n">
        <x:v>2</x:v>
      </x:c>
      <x:c r="G12" t="n">
        <x:v>2</x:v>
      </x:c>
      <x:c r="H12" t="n">
        <x:v>5</x:v>
      </x:c>
      <x:c r="I12" t="n">
        <x:v>4</x:v>
      </x:c>
      <x:c r="J12" t="n">
        <x:v>4</x:v>
      </x:c>
      <x:c r="K12" t="n">
        <x:v>4</x:v>
      </x:c>
    </x:row>
    <x:row r="13">
      <x:c r="A13" t="str">
        <x:v>Congo DR</x:v>
      </x:c>
      <x:c r="B13" t="str">
        <x:v>Democratic Republic of the Congo</x:v>
      </x:c>
      <x:c r="C13" t="n">
        <x:v>8834</x:v>
      </x:c>
      <x:c r="D13" t="n">
        <x:v>9419</x:v>
      </x:c>
      <x:c r="E13" t="n">
        <x:v>10536</x:v>
      </x:c>
      <x:c r="F13" t="n">
        <x:v>11517</x:v>
      </x:c>
      <x:c r="G13" t="n">
        <x:v>12589</x:v>
      </x:c>
      <x:c r="H13" t="n">
        <x:v>13453</x:v>
      </x:c>
      <x:c r="I13" t="n">
        <x:v>13337</x:v>
      </x:c>
      <x:c r="J13" t="n">
        <x:v>13460</x:v>
      </x:c>
      <x:c r="K13" t="n">
        <x:v>13794</x:v>
      </x:c>
    </x:row>
    <x:row r="14">
      <x:c r="A14" t="str">
        <x:v>Congo Rep</x:v>
      </x:c>
      <x:c r="B14" t="str">
        <x:v>Republic of the Congo</x:v>
      </x:c>
      <x:c r="C14" t="n">
        <x:v>1164</x:v>
      </x:c>
      <x:c r="D14" t="n">
        <x:v>1235</x:v>
      </x:c>
      <x:c r="E14" t="n">
        <x:v>1078</x:v>
      </x:c>
      <x:c r="F14" t="n">
        <x:v>1078</x:v>
      </x:c>
      <x:c r="G14" t="n">
        <x:v>1079</x:v>
      </x:c>
      <x:c r="H14" t="n">
        <x:v>1079</x:v>
      </x:c>
      <x:c r="I14" t="n">
        <x:v>1079</x:v>
      </x:c>
      <x:c r="J14" t="n">
        <x:v>1079</x:v>
      </x:c>
      <x:c r="K14" t="n">
        <x:v>1079</x:v>
      </x:c>
    </x:row>
    <x:row r="15">
      <x:c r="A15" t="str">
        <x:v>Cote d Ivoire</x:v>
      </x:c>
      <x:c r="B15" t="str">
        <x:v>Côte d'Ivoire</x:v>
      </x:c>
      <x:c r="C15" t="n">
        <x:v>1530</x:v>
      </x:c>
      <x:c r="D15" t="n">
        <x:v>2049</x:v>
      </x:c>
      <x:c r="E15" t="n">
        <x:v>2965</x:v>
      </x:c>
      <x:c r="F15" t="n">
        <x:v>3487</x:v>
      </x:c>
      <x:c r="G15" t="n">
        <x:v>3384</x:v>
      </x:c>
      <x:c r="H15" t="n">
        <x:v>2637</x:v>
      </x:c>
      <x:c r="I15" t="n">
        <x:v>2876</x:v>
      </x:c>
      <x:c r="J15" t="n">
        <x:v>3236</x:v>
      </x:c>
      <x:c r="K15" t="n">
        <x:v>3474</x:v>
      </x:c>
    </x:row>
    <x:row r="16">
      <x:c r="A16" t="str">
        <x:v>Djibouti</x:v>
      </x:c>
      <x:c r="B16" t="str">
        <x:v>Djibouti</x:v>
      </x:c>
      <x:c r="C16" t="n">
        <x:v>1</x:v>
      </x:c>
      <x:c r="D16" t="n">
        <x:v>1</x:v>
      </x:c>
      <x:c r="E16" t="n">
        <x:v>1</x:v>
      </x:c>
      <x:c r="F16" t="n">
        <x:v>1</x:v>
      </x:c>
      <x:c r="G16" t="n">
        <x:v>1</x:v>
      </x:c>
      <x:c r="H16" t="n">
        <x:v>70</x:v>
      </x:c>
      <x:c r="I16" t="n">
        <x:v>70</x:v>
      </x:c>
      <x:c r="J16" t="n">
        <x:v>113</x:v>
      </x:c>
      <x:c r="K16" t="n">
        <x:v>236</x:v>
      </x:c>
    </x:row>
    <x:row r="17">
      <x:c r="A17" t="str">
        <x:v>Egypt</x:v>
      </x:c>
      <x:c r="B17" t="str">
        <x:v>Egypt</x:v>
      </x:c>
      <x:c r="C17" t="n">
        <x:v>16121</x:v>
      </x:c>
      <x:c r="D17" t="n">
        <x:v>15973</x:v>
      </x:c>
      <x:c r="E17" t="n">
        <x:v>15942</x:v>
      </x:c>
      <x:c r="F17" t="n">
        <x:v>17948</x:v>
      </x:c>
      <x:c r="G17" t="n">
        <x:v>24083</x:v>
      </x:c>
      <x:c r="H17" t="n">
        <x:v>25236</x:v>
      </x:c>
      <x:c r="I17" t="n">
        <x:v>26451</x:v>
      </x:c>
      <x:c r="J17" t="n">
        <x:v>27341</x:v>
      </x:c>
      <x:c r="K17" t="n">
        <x:v>28743</x:v>
      </x:c>
    </x:row>
    <x:row r="18">
      <x:c r="A18" t="str">
        <x:v>Eq Guinea</x:v>
      </x:c>
      <x:c r="B18" t="str">
        <x:v>Equatorial Guinea</x:v>
      </x:c>
      <x:c r="C18" t="n">
        <x:v>471</x:v>
      </x:c>
      <x:c r="D18" t="n">
        <x:v>438</x:v>
      </x:c>
      <x:c r="E18" t="n">
        <x:v>443</x:v>
      </x:c>
      <x:c r="F18" t="n">
        <x:v>477</x:v>
      </x:c>
      <x:c r="G18" t="n">
        <x:v>489</x:v>
      </x:c>
      <x:c r="H18" t="n">
        <x:v>470</x:v>
      </x:c>
      <x:c r="I18" t="n">
        <x:v>471</x:v>
      </x:c>
      <x:c r="J18" t="n">
        <x:v>348</x:v>
      </x:c>
      <x:c r="K18" t="n">
        <x:v>446</x:v>
      </x:c>
    </x:row>
    <x:row r="19">
      <x:c r="A19" t="str">
        <x:v>Eritrea</x:v>
      </x:c>
      <x:c r="B19" t="str">
        <x:v>Eritrea</x:v>
      </x:c>
      <x:c r="C19" t="n">
        <x:v>19</x:v>
      </x:c>
      <x:c r="D19" t="n">
        <x:v>46</x:v>
      </x:c>
      <x:c r="E19" t="n">
        <x:v>51</x:v>
      </x:c>
      <x:c r="F19" t="n">
        <x:v>51</x:v>
      </x:c>
      <x:c r="G19" t="n">
        <x:v>51</x:v>
      </x:c>
      <x:c r="H19" t="n">
        <x:v>50</x:v>
      </x:c>
      <x:c r="I19" t="n">
        <x:v>49</x:v>
      </x:c>
      <x:c r="J19" t="n">
        <x:v>49</x:v>
      </x:c>
      <x:c r="K19" t="n">
        <x:v>49</x:v>
      </x:c>
    </x:row>
    <x:row r="20">
      <x:c r="A20" t="str">
        <x:v>Eswatini</x:v>
      </x:c>
      <x:c r="B20" t="str">
        <x:v>Eswatini</x:v>
      </x:c>
      <x:c r="C20" t="n">
        <x:v>335</x:v>
      </x:c>
      <x:c r="D20" t="n">
        <x:v>303</x:v>
      </x:c>
      <x:c r="E20" t="n">
        <x:v>377</x:v>
      </x:c>
      <x:c r="F20" t="n">
        <x:v>413</x:v>
      </x:c>
      <x:c r="G20" t="n">
        <x:v>424</x:v>
      </x:c>
      <x:c r="H20" t="n">
        <x:v>468</x:v>
      </x:c>
      <x:c r="I20" t="n">
        <x:v>501</x:v>
      </x:c>
      <x:c r="J20" t="n">
        <x:v>630</x:v>
      </x:c>
      <x:c r="K20" t="n">
        <x:v>605</x:v>
      </x:c>
    </x:row>
    <x:row r="21">
      <x:c r="A21" t="str">
        <x:v>Ethiopia</x:v>
      </x:c>
      <x:c r="B21" t="str">
        <x:v>Ethiopia</x:v>
      </x:c>
      <x:c r="C21" t="n">
        <x:v>10509</x:v>
      </x:c>
      <x:c r="D21" t="n">
        <x:v>12580</x:v>
      </x:c>
      <x:c r="E21" t="n">
        <x:v>13259</x:v>
      </x:c>
      <x:c r="F21" t="n">
        <x:v>14553</x:v>
      </x:c>
      <x:c r="G21" t="n">
        <x:v>15072</x:v>
      </x:c>
      <x:c r="H21" t="n">
        <x:v>15810</x:v>
      </x:c>
      <x:c r="I21" t="n">
        <x:v>15514</x:v>
      </x:c>
      <x:c r="J21" t="n">
        <x:v>17750</x:v>
      </x:c>
      <x:c r="K21" t="n">
        <x:v>20639</x:v>
      </x:c>
    </x:row>
    <x:row r="22">
      <x:c r="A22" t="str">
        <x:v>Gabon</x:v>
      </x:c>
      <x:c r="B22" t="str">
        <x:v>Gabon</x:v>
      </x:c>
      <x:c r="C22" t="n">
        <x:v>824</x:v>
      </x:c>
      <x:c r="D22" t="n">
        <x:v>917</x:v>
      </x:c>
      <x:c r="E22" t="n">
        <x:v>984</x:v>
      </x:c>
      <x:c r="F22" t="n">
        <x:v>961</x:v>
      </x:c>
      <x:c r="G22" t="n">
        <x:v>913</x:v>
      </x:c>
      <x:c r="H22" t="n">
        <x:v>914</x:v>
      </x:c>
      <x:c r="I22" t="n">
        <x:v>914</x:v>
      </x:c>
      <x:c r="J22" t="n">
        <x:v>914</x:v>
      </x:c>
      <x:c r="K22" t="n">
        <x:v>914</x:v>
      </x:c>
    </x:row>
    <x:row r="23">
      <x:c r="A23" t="str">
        <x:v>Gambia</x:v>
      </x:c>
      <x:c r="B23" t="str">
        <x:v>Gambia</x:v>
      </x:c>
      <x:c r="C23" t="n">
        <x:v>4</x:v>
      </x:c>
      <x:c r="D23" t="n">
        <x:v>4</x:v>
      </x:c>
      <x:c r="E23" t="n">
        <x:v>4</x:v>
      </x:c>
      <x:c r="F23" t="n">
        <x:v>5</x:v>
      </x:c>
      <x:c r="G23" t="n">
        <x:v>5</x:v>
      </x:c>
      <x:c r="H23" t="n">
        <x:v>5</x:v>
      </x:c>
      <x:c r="I23" t="n">
        <x:v>5</x:v>
      </x:c>
      <x:c r="J23" t="n">
        <x:v>5</x:v>
      </x:c>
      <x:c r="K23" t="n">
        <x:v>5</x:v>
      </x:c>
    </x:row>
    <x:row r="24">
      <x:c r="A24" t="str">
        <x:v>Ghana</x:v>
      </x:c>
      <x:c r="B24" t="str">
        <x:v>Ghana</x:v>
      </x:c>
      <x:c r="C24" t="n">
        <x:v>5628</x:v>
      </x:c>
      <x:c r="D24" t="n">
        <x:v>5692</x:v>
      </x:c>
      <x:c r="E24" t="n">
        <x:v>6112</x:v>
      </x:c>
      <x:c r="F24" t="n">
        <x:v>7378</x:v>
      </x:c>
      <x:c r="G24" t="n">
        <x:v>7435</x:v>
      </x:c>
      <x:c r="H24" t="n">
        <x:v>7733</x:v>
      </x:c>
      <x:c r="I24" t="n">
        <x:v>8448</x:v>
      </x:c>
      <x:c r="J24" t="n">
        <x:v>8439</x:v>
      </x:c>
      <x:c r="K24" t="n">
        <x:v>10173</x:v>
      </x:c>
    </x:row>
    <x:row r="25">
      <x:c r="A25" t="str">
        <x:v>Guinea</x:v>
      </x:c>
      <x:c r="B25" t="str">
        <x:v>Guinea</x:v>
      </x:c>
      <x:c r="C25" t="n">
        <x:v>1084</x:v>
      </x:c>
      <x:c r="D25" t="n">
        <x:v>1213</x:v>
      </x:c>
      <x:c r="E25" t="n">
        <x:v>1211</x:v>
      </x:c>
      <x:c r="F25" t="n">
        <x:v>1310</x:v>
      </x:c>
      <x:c r="G25" t="n">
        <x:v>1516</x:v>
      </x:c>
      <x:c r="H25" t="n">
        <x:v>2668</x:v>
      </x:c>
      <x:c r="I25" t="n">
        <x:v>2972</x:v>
      </x:c>
      <x:c r="J25" t="n">
        <x:v>3371</x:v>
      </x:c>
      <x:c r="K25" t="n">
        <x:v>3813</x:v>
      </x:c>
    </x:row>
    <x:row r="26">
      <x:c r="A26" t="str">
        <x:v>Guinea Bissau</x:v>
      </x:c>
      <x:c r="B26" t="str">
        <x:v>Guinea-Bissau</x:v>
      </x:c>
      <x:c r="C26" t="n">
        <x:v>1</x:v>
      </x:c>
      <x:c r="D26" t="n">
        <x:v>2</x:v>
      </x:c>
      <x:c r="E26" t="n">
        <x:v>3</x:v>
      </x:c>
      <x:c r="F26" t="n">
        <x:v>3</x:v>
      </x:c>
      <x:c r="G26" t="n">
        <x:v>3</x:v>
      </x:c>
      <x:c r="H26" t="n">
        <x:v>3</x:v>
      </x:c>
      <x:c r="I26" t="n">
        <x:v>3</x:v>
      </x:c>
      <x:c r="J26" t="n">
        <x:v>3</x:v>
      </x:c>
      <x:c r="K26" t="n">
        <x:v>3</x:v>
      </x:c>
    </x:row>
    <x:row r="27">
      <x:c r="A27" t="str">
        <x:v>Kenya</x:v>
      </x:c>
      <x:c r="B27" t="str">
        <x:v>Kenya</x:v>
      </x:c>
      <x:c r="C27" t="n">
        <x:v>8619</x:v>
      </x:c>
      <x:c r="D27" t="n">
        <x:v>8504</x:v>
      </x:c>
      <x:c r="E27" t="n">
        <x:v>9025</x:v>
      </x:c>
      <x:c r="F27" t="n">
        <x:v>9473</x:v>
      </x:c>
      <x:c r="G27" t="n">
        <x:v>9742</x:v>
      </x:c>
      <x:c r="H27" t="n">
        <x:v>9676</x:v>
      </x:c>
      <x:c r="I27" t="n">
        <x:v>9579</x:v>
      </x:c>
      <x:c r="J27" t="n">
        <x:v>10265</x:v>
      </x:c>
      <x:c r="K27" t="n">
        <x:v>10649</x:v>
      </x:c>
    </x:row>
    <x:row r="28">
      <x:c r="A28" t="str">
        <x:v>Lesotho</x:v>
      </x:c>
      <x:c r="B28" t="str">
        <x:v>Lesotho</x:v>
      </x:c>
      <x:c r="C28" t="n">
        <x:v>512</x:v>
      </x:c>
      <x:c r="D28" t="n">
        <x:v>503</x:v>
      </x:c>
      <x:c r="E28" t="n">
        <x:v>517</x:v>
      </x:c>
      <x:c r="F28" t="n">
        <x:v>393</x:v>
      </x:c>
      <x:c r="G28" t="n">
        <x:v>427</x:v>
      </x:c>
      <x:c r="H28" t="n">
        <x:v>532</x:v>
      </x:c>
      <x:c r="I28" t="n">
        <x:v>481</x:v>
      </x:c>
      <x:c r="J28" t="n">
        <x:v>482</x:v>
      </x:c>
      <x:c r="K28" t="n">
        <x:v>482</x:v>
      </x:c>
    </x:row>
    <x:row r="29">
      <x:c r="A29" t="str">
        <x:v>Liberia</x:v>
      </x:c>
      <x:c r="B29" t="str">
        <x:v>Liberia</x:v>
      </x:c>
      <x:c r="C29" t="n">
        <x:v>26</x:v>
      </x:c>
      <x:c r="D29" t="n">
        <x:v>130</x:v>
      </x:c>
      <x:c r="E29" t="n">
        <x:v>130</x:v>
      </x:c>
      <x:c r="F29" t="n">
        <x:v>131</x:v>
      </x:c>
      <x:c r="G29" t="n">
        <x:v>132</x:v>
      </x:c>
      <x:c r="H29" t="n">
        <x:v>252</x:v>
      </x:c>
      <x:c r="I29" t="n">
        <x:v>257</x:v>
      </x:c>
      <x:c r="J29" t="n">
        <x:v>354</x:v>
      </x:c>
      <x:c r="K29" t="n">
        <x:v>338</x:v>
      </x:c>
    </x:row>
    <x:row r="30">
      <x:c r="A30" t="str">
        <x:v>Libya</x:v>
      </x:c>
      <x:c r="B30" t="str">
        <x:v>Libya</x:v>
      </x:c>
      <x:c r="C30" t="n">
        <x:v>8</x:v>
      </x:c>
      <x:c r="D30" t="n">
        <x:v>8</x:v>
      </x:c>
      <x:c r="E30" t="n">
        <x:v>8</x:v>
      </x:c>
      <x:c r="F30" t="n">
        <x:v>8</x:v>
      </x:c>
      <x:c r="G30" t="n">
        <x:v>8</x:v>
      </x:c>
      <x:c r="H30" t="n">
        <x:v>8</x:v>
      </x:c>
      <x:c r="I30" t="n">
        <x:v>8</x:v>
      </x:c>
      <x:c r="J30" t="n">
        <x:v>8</x:v>
      </x:c>
      <x:c r="K30" t="n">
        <x:v>8</x:v>
      </x:c>
    </x:row>
    <x:row r="31">
      <x:c r="A31" t="str">
        <x:v>Madagascar</x:v>
      </x:c>
      <x:c r="B31" t="str">
        <x:v>Madagascar</x:v>
      </x:c>
      <x:c r="C31" t="n">
        <x:v>921</x:v>
      </x:c>
      <x:c r="D31" t="n">
        <x:v>820</x:v>
      </x:c>
      <x:c r="E31" t="n">
        <x:v>1038</x:v>
      </x:c>
      <x:c r="F31" t="n">
        <x:v>959</x:v>
      </x:c>
      <x:c r="G31" t="n">
        <x:v>892</x:v>
      </x:c>
      <x:c r="H31" t="n">
        <x:v>841</x:v>
      </x:c>
      <x:c r="I31" t="n">
        <x:v>944</x:v>
      </x:c>
      <x:c r="J31" t="n">
        <x:v>1116</x:v>
      </x:c>
      <x:c r="K31" t="n">
        <x:v>1086</x:v>
      </x:c>
    </x:row>
    <x:row r="32">
      <x:c r="A32" t="str">
        <x:v>Malawi</x:v>
      </x:c>
      <x:c r="B32" t="str">
        <x:v>Malawi</x:v>
      </x:c>
      <x:c r="C32" t="n">
        <x:v>1944</x:v>
      </x:c>
      <x:c r="D32" t="n">
        <x:v>1633</x:v>
      </x:c>
      <x:c r="E32" t="n">
        <x:v>1474</x:v>
      </x:c>
      <x:c r="F32" t="n">
        <x:v>1724</x:v>
      </x:c>
      <x:c r="G32" t="n">
        <x:v>1729</x:v>
      </x:c>
      <x:c r="H32" t="n">
        <x:v>1748</x:v>
      </x:c>
      <x:c r="I32" t="n">
        <x:v>1747</x:v>
      </x:c>
      <x:c r="J32" t="n">
        <x:v>1743</x:v>
      </x:c>
      <x:c r="K32" t="n">
        <x:v>1748</x:v>
      </x:c>
    </x:row>
    <x:row r="33">
      <x:c r="A33" t="str">
        <x:v>Mali</x:v>
      </x:c>
      <x:c r="B33" t="str">
        <x:v>Mali</x:v>
      </x:c>
      <x:c r="C33" t="n">
        <x:v>1949</x:v>
      </x:c>
      <x:c r="D33" t="n">
        <x:v>2130</x:v>
      </x:c>
      <x:c r="E33" t="n">
        <x:v>1249</x:v>
      </x:c>
      <x:c r="F33" t="n">
        <x:v>815</x:v>
      </x:c>
      <x:c r="G33" t="n">
        <x:v>895</x:v>
      </x:c>
      <x:c r="H33" t="n">
        <x:v>902</x:v>
      </x:c>
      <x:c r="I33" t="n">
        <x:v>1068</x:v>
      </x:c>
      <x:c r="J33" t="n">
        <x:v>1148</x:v>
      </x:c>
      <x:c r="K33" t="n">
        <x:v>1150</x:v>
      </x:c>
    </x:row>
    <x:row r="34">
      <x:c r="A34" t="str">
        <x:v>Mauritania</x:v>
      </x:c>
      <x:c r="B34" t="str">
        <x:v>Mauritania</x:v>
      </x:c>
      <x:c r="C34" t="n">
        <x:v>189</x:v>
      </x:c>
      <x:c r="D34" t="n">
        <x:v>191</x:v>
      </x:c>
      <x:c r="E34" t="n">
        <x:v>274</x:v>
      </x:c>
      <x:c r="F34" t="n">
        <x:v>276</x:v>
      </x:c>
      <x:c r="G34" t="n">
        <x:v>271</x:v>
      </x:c>
      <x:c r="H34" t="n">
        <x:v>267</x:v>
      </x:c>
      <x:c r="I34" t="n">
        <x:v>238</x:v>
      </x:c>
      <x:c r="J34" t="n">
        <x:v>359</x:v>
      </x:c>
      <x:c r="K34" t="n">
        <x:v>484</x:v>
      </x:c>
    </x:row>
    <x:row r="35">
      <x:c r="A35" t="str">
        <x:v>Mauritius</x:v>
      </x:c>
      <x:c r="B35" t="str">
        <x:v>Mauritius</x:v>
      </x:c>
      <x:c r="C35" t="n">
        <x:v>665</x:v>
      </x:c>
      <x:c r="D35" t="n">
        <x:v>625</x:v>
      </x:c>
      <x:c r="E35" t="n">
        <x:v>650</x:v>
      </x:c>
      <x:c r="F35" t="n">
        <x:v>703</x:v>
      </x:c>
      <x:c r="G35" t="n">
        <x:v>689</x:v>
      </x:c>
      <x:c r="H35" t="n">
        <x:v>644</x:v>
      </x:c>
      <x:c r="I35" t="n">
        <x:v>600</x:v>
      </x:c>
      <x:c r="J35" t="n">
        <x:v>576</x:v>
      </x:c>
      <x:c r="K35" t="n">
        <x:v>622</x:v>
      </x:c>
    </x:row>
    <x:row r="36">
      <x:c r="A36" t="str">
        <x:v>Morocco</x:v>
      </x:c>
      <x:c r="B36" t="str">
        <x:v>Morocco</x:v>
      </x:c>
      <x:c r="C36" t="n">
        <x:v>4708</x:v>
      </x:c>
      <x:c r="D36" t="n">
        <x:v>4720</x:v>
      </x:c>
      <x:c r="E36" t="n">
        <x:v>6569</x:v>
      </x:c>
      <x:c r="F36" t="n">
        <x:v>7626</x:v>
      </x:c>
      <x:c r="G36" t="n">
        <x:v>7062</x:v>
      </x:c>
      <x:c r="H36" t="n">
        <x:v>7828</x:v>
      </x:c>
      <x:c r="I36" t="n">
        <x:v>7237</x:v>
      </x:c>
      <x:c r="J36" t="n">
        <x:v>7595</x:v>
      </x:c>
      <x:c r="K36" t="n">
        <x:v>10478</x:v>
      </x:c>
    </x:row>
    <x:row r="37">
      <x:c r="A37" t="str">
        <x:v>Mozambique</x:v>
      </x:c>
      <x:c r="B37" t="str">
        <x:v>Mozambique</x:v>
      </x:c>
      <x:c r="C37" t="n">
        <x:v>15748</x:v>
      </x:c>
      <x:c r="D37" t="n">
        <x:v>14211</x:v>
      </x:c>
      <x:c r="E37" t="n">
        <x:v>14032</x:v>
      </x:c>
      <x:c r="F37" t="n">
        <x:v>14975</x:v>
      </x:c>
      <x:c r="G37" t="n">
        <x:v>15882</x:v>
      </x:c>
      <x:c r="H37" t="n">
        <x:v>15654</x:v>
      </x:c>
      <x:c r="I37" t="n">
        <x:v>16363</x:v>
      </x:c>
      <x:c r="J37" t="n">
        <x:v>16589</x:v>
      </x:c>
      <x:c r="K37" t="n">
        <x:v>16604</x:v>
      </x:c>
    </x:row>
    <x:row r="38">
      <x:c r="A38" t="str">
        <x:v>Namibia</x:v>
      </x:c>
      <x:c r="B38" t="str">
        <x:v>Namibia</x:v>
      </x:c>
      <x:c r="C38" t="n">
        <x:v>1510</x:v>
      </x:c>
      <x:c r="D38" t="n">
        <x:v>1459</x:v>
      </x:c>
      <x:c r="E38" t="n">
        <x:v>1276</x:v>
      </x:c>
      <x:c r="F38" t="n">
        <x:v>1581</x:v>
      </x:c>
      <x:c r="G38" t="n">
        <x:v>1635</x:v>
      </x:c>
      <x:c r="H38" t="n">
        <x:v>1294</x:v>
      </x:c>
      <x:c r="I38" t="n">
        <x:v>1556</x:v>
      </x:c>
      <x:c r="J38" t="n">
        <x:v>2229</x:v>
      </x:c>
      <x:c r="K38" t="n">
        <x:v>2589</x:v>
      </x:c>
    </x:row>
    <x:row r="39">
      <x:c r="A39" t="str">
        <x:v>Niger</x:v>
      </x:c>
      <x:c r="B39" t="str">
        <x:v>Niger</x:v>
      </x:c>
      <x:c r="C39" t="n">
        <x:v>11</x:v>
      </x:c>
      <x:c r="D39" t="n">
        <x:v>11</x:v>
      </x:c>
      <x:c r="E39" t="n">
        <x:v>13</x:v>
      </x:c>
      <x:c r="F39" t="n">
        <x:v>24</x:v>
      </x:c>
      <x:c r="G39" t="n">
        <x:v>24</x:v>
      </x:c>
      <x:c r="H39" t="n">
        <x:v>24</x:v>
      </x:c>
      <x:c r="I39" t="n">
        <x:v>78</x:v>
      </x:c>
      <x:c r="J39" t="n">
        <x:v>130</x:v>
      </x:c>
      <x:c r="K39" t="n">
        <x:v>83</x:v>
      </x:c>
    </x:row>
    <x:row r="40">
      <x:c r="A40" t="str">
        <x:v>Nigeria</x:v>
      </x:c>
      <x:c r="B40" t="str">
        <x:v>Nigeria</x:v>
      </x:c>
      <x:c r="C40" t="n">
        <x:v>8204</x:v>
      </x:c>
      <x:c r="D40" t="n">
        <x:v>7818</x:v>
      </x:c>
      <x:c r="E40" t="n">
        <x:v>7771</x:v>
      </x:c>
      <x:c r="F40" t="n">
        <x:v>8534</x:v>
      </x:c>
      <x:c r="G40" t="n">
        <x:v>8024</x:v>
      </x:c>
      <x:c r="H40" t="n">
        <x:v>9370</x:v>
      </x:c>
      <x:c r="I40" t="n">
        <x:v>9483</x:v>
      </x:c>
      <x:c r="J40" t="n">
        <x:v>9720</x:v>
      </x:c>
      <x:c r="K40" t="n">
        <x:v>13139</x:v>
      </x:c>
    </x:row>
    <x:row r="41">
      <x:c r="A41" t="str">
        <x:v>Rwanda</x:v>
      </x:c>
      <x:c r="B41" t="str">
        <x:v>Rwanda</x:v>
      </x:c>
      <x:c r="C41" t="n">
        <x:v>346</x:v>
      </x:c>
      <x:c r="D41" t="n">
        <x:v>325</x:v>
      </x:c>
      <x:c r="E41" t="n">
        <x:v>354</x:v>
      </x:c>
      <x:c r="F41" t="n">
        <x:v>420</x:v>
      </x:c>
      <x:c r="G41" t="n">
        <x:v>543</x:v>
      </x:c>
      <x:c r="H41" t="n">
        <x:v>579</x:v>
      </x:c>
      <x:c r="I41" t="n">
        <x:v>537</x:v>
      </x:c>
      <x:c r="J41" t="n">
        <x:v>520</x:v>
      </x:c>
      <x:c r="K41" t="n">
        <x:v>551</x:v>
      </x:c>
    </x:row>
    <x:row r="42">
      <x:c r="A42" t="str">
        <x:v>Sao Tome Prn</x:v>
      </x:c>
      <x:c r="B42" t="str">
        <x:v>Sao Tome and Principe</x:v>
      </x:c>
      <x:c r="C42" t="n">
        <x:v>6</x:v>
      </x:c>
      <x:c r="D42" t="n">
        <x:v>5</x:v>
      </x:c>
      <x:c r="E42" t="n">
        <x:v>5</x:v>
      </x:c>
      <x:c r="F42" t="n">
        <x:v>6</x:v>
      </x:c>
      <x:c r="G42" t="n">
        <x:v>6</x:v>
      </x:c>
      <x:c r="H42" t="n">
        <x:v>6</x:v>
      </x:c>
      <x:c r="I42" t="n">
        <x:v>6</x:v>
      </x:c>
      <x:c r="J42" t="n">
        <x:v>7</x:v>
      </x:c>
      <x:c r="K42" t="n">
        <x:v>7</x:v>
      </x:c>
    </x:row>
    <x:row r="43">
      <x:c r="A43" t="str">
        <x:v>Senegal</x:v>
      </x:c>
      <x:c r="B43" t="str">
        <x:v>Senegal</x:v>
      </x:c>
      <x:c r="C43" t="n">
        <x:v>62</x:v>
      </x:c>
      <x:c r="D43" t="n">
        <x:v>155</x:v>
      </x:c>
      <x:c r="E43" t="n">
        <x:v>290</x:v>
      </x:c>
      <x:c r="F43" t="n">
        <x:v>353</x:v>
      </x:c>
      <x:c r="G43" t="n">
        <x:v>534</x:v>
      </x:c>
      <x:c r="H43" t="n">
        <x:v>846</x:v>
      </x:c>
      <x:c r="I43" t="n">
        <x:v>886</x:v>
      </x:c>
      <x:c r="J43" t="n">
        <x:v>873</x:v>
      </x:c>
      <x:c r="K43" t="n">
        <x:v>864</x:v>
      </x:c>
    </x:row>
    <x:row r="44">
      <x:c r="A44" t="str">
        <x:v>Seychelles</x:v>
      </x:c>
      <x:c r="B44" t="str">
        <x:v>Seychelles</x:v>
      </x:c>
      <x:c r="C44" t="n">
        <x:v>9</x:v>
      </x:c>
      <x:c r="D44" t="n">
        <x:v>10</x:v>
      </x:c>
      <x:c r="E44" t="n">
        <x:v>12</x:v>
      </x:c>
      <x:c r="F44" t="n">
        <x:v>10</x:v>
      </x:c>
      <x:c r="G44" t="n">
        <x:v>12</x:v>
      </x:c>
      <x:c r="H44" t="n">
        <x:v>23</x:v>
      </x:c>
      <x:c r="I44" t="n">
        <x:v>25</x:v>
      </x:c>
      <x:c r="J44" t="n">
        <x:v>25</x:v>
      </x:c>
      <x:c r="K44" t="n">
        <x:v>27</x:v>
      </x:c>
    </x:row>
    <x:row r="45">
      <x:c r="A45" t="str">
        <x:v>Sierra Leone</x:v>
      </x:c>
      <x:c r="B45" t="str">
        <x:v>Sierra Leone</x:v>
      </x:c>
      <x:c r="C45" t="n">
        <x:v>231</x:v>
      </x:c>
      <x:c r="D45" t="n">
        <x:v>240</x:v>
      </x:c>
      <x:c r="E45" t="n">
        <x:v>240</x:v>
      </x:c>
      <x:c r="F45" t="n">
        <x:v>243</x:v>
      </x:c>
      <x:c r="G45" t="n">
        <x:v>244</x:v>
      </x:c>
      <x:c r="H45" t="n">
        <x:v>254</x:v>
      </x:c>
      <x:c r="I45" t="n">
        <x:v>262</x:v>
      </x:c>
      <x:c r="J45" t="n">
        <x:v>265</x:v>
      </x:c>
      <x:c r="K45" t="n">
        <x:v>265</x:v>
      </x:c>
    </x:row>
    <x:row r="46">
      <x:c r="A46" t="str">
        <x:v>Somalia</x:v>
      </x:c>
      <x:c r="B46" t="str">
        <x:v>Somalia</x:v>
      </x:c>
      <x:c r="C46" t="n">
        <x:v>7</x:v>
      </x:c>
      <x:c r="D46" t="n">
        <x:v>9</x:v>
      </x:c>
      <x:c r="E46" t="n">
        <x:v>10</x:v>
      </x:c>
      <x:c r="F46" t="n">
        <x:v>10</x:v>
      </x:c>
      <x:c r="G46" t="n">
        <x:v>23</x:v>
      </x:c>
      <x:c r="H46" t="n">
        <x:v>36</x:v>
      </x:c>
      <x:c r="I46" t="n">
        <x:v>72</x:v>
      </x:c>
      <x:c r="J46" t="n">
        <x:v>78</x:v>
      </x:c>
      <x:c r="K46" t="n">
        <x:v>85</x:v>
      </x:c>
    </x:row>
    <x:row r="47">
      <x:c r="A47" t="str">
        <x:v>South Africa</x:v>
      </x:c>
      <x:c r="B47" t="str">
        <x:v>South Africa</x:v>
      </x:c>
      <x:c r="C47" t="n">
        <x:v>4668</x:v>
      </x:c>
      <x:c r="D47" t="n">
        <x:v>5288</x:v>
      </x:c>
      <x:c r="E47" t="n">
        <x:v>6277</x:v>
      </x:c>
      <x:c r="F47" t="n">
        <x:v>6926</x:v>
      </x:c>
      <x:c r="G47" t="n">
        <x:v>8921</x:v>
      </x:c>
      <x:c r="H47" t="n">
        <x:v>10324</x:v>
      </x:c>
      <x:c r="I47" t="n">
        <x:v>14233</x:v>
      </x:c>
      <x:c r="J47" t="n">
        <x:v>16486</x:v>
      </x:c>
      <x:c r="K47" t="n">
        <x:v>17057</x:v>
      </x:c>
    </x:row>
    <x:row r="48">
      <x:c r="A48" t="str">
        <x:v>South Sudan</x:v>
      </x:c>
      <x:c r="B48" t="str">
        <x:v>South Sudan</x:v>
      </x:c>
      <x:c r="C48" t="n">
        <x:v>2</x:v>
      </x:c>
      <x:c r="D48" t="n">
        <x:v>3</x:v>
      </x:c>
      <x:c r="E48" t="n">
        <x:v>3</x:v>
      </x:c>
      <x:c r="F48" t="n">
        <x:v>4</x:v>
      </x:c>
      <x:c r="G48" t="n">
        <x:v>15</x:v>
      </x:c>
      <x:c r="H48" t="n">
        <x:v>21</x:v>
      </x:c>
      <x:c r="I48" t="n">
        <x:v>39</x:v>
      </x:c>
      <x:c r="J48" t="n">
        <x:v>34</x:v>
      </x:c>
      <x:c r="K48" t="n">
        <x:v>34</x:v>
      </x:c>
    </x:row>
    <x:row r="49">
      <x:c r="A49" t="str">
        <x:v>Sudan</x:v>
      </x:c>
      <x:c r="B49" t="str">
        <x:v>Sudan</x:v>
      </x:c>
      <x:c r="C49" t="n">
        <x:v>8189</x:v>
      </x:c>
      <x:c r="D49" t="n">
        <x:v>9497</x:v>
      </x:c>
      <x:c r="E49" t="n">
        <x:v>9799</x:v>
      </x:c>
      <x:c r="F49" t="n">
        <x:v>10341</x:v>
      </x:c>
      <x:c r="G49" t="n">
        <x:v>11138</x:v>
      </x:c>
      <x:c r="H49" t="n">
        <x:v>10175</x:v>
      </x:c>
      <x:c r="I49" t="n">
        <x:v>10276</x:v>
      </x:c>
      <x:c r="J49" t="n">
        <x:v>10274</x:v>
      </x:c>
      <x:c r="K49" t="n">
        <x:v>10274</x:v>
      </x:c>
    </x:row>
    <x:row r="50">
      <x:c r="A50" t="str">
        <x:v>Tanzania</x:v>
      </x:c>
      <x:c r="B50" t="str">
        <x:v>United Republic of Tanzania</x:v>
      </x:c>
      <x:c r="C50" t="n">
        <x:v>2601</x:v>
      </x:c>
      <x:c r="D50" t="n">
        <x:v>2595</x:v>
      </x:c>
      <x:c r="E50" t="n">
        <x:v>2484</x:v>
      </x:c>
      <x:c r="F50" t="n">
        <x:v>2734</x:v>
      </x:c>
      <x:c r="G50" t="n">
        <x:v>3402</x:v>
      </x:c>
      <x:c r="H50" t="n">
        <x:v>3335</x:v>
      </x:c>
      <x:c r="I50" t="n">
        <x:v>2816</x:v>
      </x:c>
      <x:c r="J50" t="n">
        <x:v>2874</x:v>
      </x:c>
      <x:c r="K50" t="n">
        <x:v>3043</x:v>
      </x:c>
    </x:row>
    <x:row r="51">
      <x:c r="A51" t="str">
        <x:v>Togo</x:v>
      </x:c>
      <x:c r="B51" t="str">
        <x:v>Togo</x:v>
      </x:c>
      <x:c r="C51" t="n">
        <x:v>204</x:v>
      </x:c>
      <x:c r="D51" t="n">
        <x:v>205</x:v>
      </x:c>
      <x:c r="E51" t="n">
        <x:v>109</x:v>
      </x:c>
      <x:c r="F51" t="n">
        <x:v>137</x:v>
      </x:c>
      <x:c r="G51" t="n">
        <x:v>91</x:v>
      </x:c>
      <x:c r="H51" t="n">
        <x:v>159</x:v>
      </x:c>
      <x:c r="I51" t="n">
        <x:v>122</x:v>
      </x:c>
      <x:c r="J51" t="n">
        <x:v>148</x:v>
      </x:c>
      <x:c r="K51" t="n">
        <x:v>158</x:v>
      </x:c>
    </x:row>
    <x:row r="52">
      <x:c r="A52" t="str">
        <x:v>Tunisia</x:v>
      </x:c>
      <x:c r="B52" t="str">
        <x:v>Tunisia</x:v>
      </x:c>
      <x:c r="C52" t="n">
        <x:v>586</x:v>
      </x:c>
      <x:c r="D52" t="n">
        <x:v>603</x:v>
      </x:c>
      <x:c r="E52" t="n">
        <x:v>648</x:v>
      </x:c>
      <x:c r="F52" t="n">
        <x:v>824</x:v>
      </x:c>
      <x:c r="G52" t="n">
        <x:v>676</x:v>
      </x:c>
      <x:c r="H52" t="n">
        <x:v>684</x:v>
      </x:c>
      <x:c r="I52" t="n">
        <x:v>673</x:v>
      </x:c>
      <x:c r="J52" t="n">
        <x:v>814</x:v>
      </x:c>
      <x:c r="K52" t="n">
        <x:v>960</x:v>
      </x:c>
    </x:row>
    <x:row r="53">
      <x:c r="A53" t="str">
        <x:v>Uganda</x:v>
      </x:c>
      <x:c r="B53" t="str">
        <x:v>Uganda</x:v>
      </x:c>
      <x:c r="C53" t="n">
        <x:v>3525</x:v>
      </x:c>
      <x:c r="D53" t="n">
        <x:v>3685</x:v>
      </x:c>
      <x:c r="E53" t="n">
        <x:v>3989</x:v>
      </x:c>
      <x:c r="F53" t="n">
        <x:v>4447</x:v>
      </x:c>
      <x:c r="G53" t="n">
        <x:v>4480</x:v>
      </x:c>
      <x:c r="H53" t="n">
        <x:v>4855</x:v>
      </x:c>
      <x:c r="I53" t="n">
        <x:v>5533</x:v>
      </x:c>
      <x:c r="J53" t="n">
        <x:v>4165</x:v>
      </x:c>
      <x:c r="K53" t="n">
        <x:v>4187</x:v>
      </x:c>
    </x:row>
    <x:row r="54">
      <x:c r="A54" t="str">
        <x:v>Zambia</x:v>
      </x:c>
      <x:c r="B54" t="str">
        <x:v>Zambia</x:v>
      </x:c>
      <x:c r="C54" t="n">
        <x:v>11152</x:v>
      </x:c>
      <x:c r="D54" t="n">
        <x:v>12584</x:v>
      </x:c>
      <x:c r="E54" t="n">
        <x:v>13843</x:v>
      </x:c>
      <x:c r="F54" t="n">
        <x:v>12582</x:v>
      </x:c>
      <x:c r="G54" t="n">
        <x:v>13107</x:v>
      </x:c>
      <x:c r="H54" t="n">
        <x:v>16369</x:v>
      </x:c>
      <x:c r="I54" t="n">
        <x:v>17354</x:v>
      </x:c>
      <x:c r="J54" t="n">
        <x:v>17376</x:v>
      </x:c>
      <x:c r="K54" t="n">
        <x:v>11011</x:v>
      </x:c>
    </x:row>
    <x:row r="55">
      <x:c r="A55" t="str">
        <x:v>Zimbabwe</x:v>
      </x:c>
      <x:c r="B55" t="str">
        <x:v>Zimbabwe</x:v>
      </x:c>
      <x:c r="C55" t="n">
        <x:v>6795</x:v>
      </x:c>
      <x:c r="D55" t="n">
        <x:v>7741</x:v>
      </x:c>
      <x:c r="E55" t="n">
        <x:v>9476</x:v>
      </x:c>
      <x:c r="F55" t="n">
        <x:v>9416</x:v>
      </x:c>
      <x:c r="G55" t="n">
        <x:v>6498</x:v>
      </x:c>
      <x:c r="H55" t="n">
        <x:v>8652</x:v>
      </x:c>
      <x:c r="I55" t="n">
        <x:v>8972</x:v>
      </x:c>
      <x:c r="J55" t="n">
        <x:v>8348</x:v>
      </x:c>
      <x:c r="K55" t="n">
        <x:v>10132</x:v>
      </x:c>
    </x:row>
    <x:row r="57">
      <x:c r="A57" s="30" t="str">
        <x:v>Source</x:v>
      </x:c>
      <x:c r="B57" s="12" t="str">
        <x:v>IRENA (2026), Renewable energy statistics 2026; physical PDF page 19; unit: GWh.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  <x:col min="12" max="12" width="4.25" hidden="0" customWidth="1"/>
  </x:cols>
  <x:sheetData>
    <x:row r="1">
      <x:c r="A1" s="16" t="str">
        <x:v>IRENA Label</x:v>
      </x:c>
      <x:c r="B1" s="16" t="str">
        <x:v>Country</x:v>
      </x:c>
      <x:c r="C1" s="16" t="str">
        <x:v>2016</x:v>
      </x:c>
      <x:c r="D1" s="16" t="str">
        <x:v>2017</x:v>
      </x:c>
      <x:c r="E1" s="16" t="str">
        <x:v>2018</x:v>
      </x:c>
      <x:c r="F1" s="16" t="str">
        <x:v>2019</x:v>
      </x:c>
      <x:c r="G1" s="16" t="str">
        <x:v>2020</x:v>
      </x:c>
      <x:c r="H1" s="16" t="str">
        <x:v>2021</x:v>
      </x:c>
      <x:c r="I1" s="16" t="str">
        <x:v>2022</x:v>
      </x:c>
      <x:c r="J1" s="16" t="str">
        <x:v>2023</x:v>
      </x:c>
      <x:c r="K1" s="16" t="str">
        <x:v>2024</x:v>
      </x:c>
      <x:c r="L1" s="16" t="str">
        <x:v>2025</x:v>
      </x:c>
    </x:row>
    <x:row r="2">
      <x:c r="A2" t="str">
        <x:v>Algeria</x:v>
      </x:c>
      <x:c r="B2" t="str">
        <x:v>Algeria</x:v>
      </x:c>
      <x:c r="C2" t="n">
        <x:v>2.5</x:v>
      </x:c>
      <x:c r="D2" t="n">
        <x:v>2.9</x:v>
      </x:c>
      <x:c r="E2" t="n">
        <x:v>2.7</x:v>
      </x:c>
      <x:c r="F2" t="n">
        <x:v>2.5</x:v>
      </x:c>
      <x:c r="G2" t="n">
        <x:v>2.3</x:v>
      </x:c>
      <x:c r="H2" t="n">
        <x:v>2</x:v>
      </x:c>
      <x:c r="I2" t="n">
        <x:v>2.2</x:v>
      </x:c>
      <x:c r="J2" t="n">
        <x:v>2.2</x:v>
      </x:c>
      <x:c r="K2" t="n">
        <x:v>2.1</x:v>
      </x:c>
      <x:c r="L2" t="n">
        <x:v>2.1</x:v>
      </x:c>
    </x:row>
    <x:row r="3">
      <x:c r="A3" t="str">
        <x:v>Angola</x:v>
      </x:c>
      <x:c r="B3" t="str">
        <x:v>Angola</x:v>
      </x:c>
      <x:c r="C3" t="n">
        <x:v>55.9</x:v>
      </x:c>
      <x:c r="D3" t="n">
        <x:v>51.1</x:v>
      </x:c>
      <x:c r="E3" t="n">
        <x:v>57.1</x:v>
      </x:c>
      <x:c r="F3" t="n">
        <x:v>59.4</x:v>
      </x:c>
      <x:c r="G3" t="n">
        <x:v>61.6</x:v>
      </x:c>
      <x:c r="H3" t="n">
        <x:v>61.6</x:v>
      </x:c>
      <x:c r="I3" t="n">
        <x:v>63.3</x:v>
      </x:c>
      <x:c r="J3" t="n">
        <x:v>63.4</x:v>
      </x:c>
      <x:c r="K3" t="n">
        <x:v>63.7</x:v>
      </x:c>
      <x:c r="L3" t="n">
        <x:v>63.9</x:v>
      </x:c>
    </x:row>
    <x:row r="4">
      <x:c r="A4" t="str">
        <x:v>Benin</x:v>
      </x:c>
      <x:c r="B4" t="str">
        <x:v>Benin</x:v>
      </x:c>
      <x:c r="C4" t="n">
        <x:v>1.3</x:v>
      </x:c>
      <x:c r="D4" t="n">
        <x:v>1.4</x:v>
      </x:c>
      <x:c r="E4" t="n">
        <x:v>1.7</x:v>
      </x:c>
      <x:c r="F4" t="n">
        <x:v>1.4</x:v>
      </x:c>
      <x:c r="G4" t="n">
        <x:v>1.7</x:v>
      </x:c>
      <x:c r="H4" t="n">
        <x:v>2.1</x:v>
      </x:c>
      <x:c r="I4" t="n">
        <x:v>10.1</x:v>
      </x:c>
      <x:c r="J4" t="n">
        <x:v>10.6</x:v>
      </x:c>
      <x:c r="K4" t="n">
        <x:v>10.6</x:v>
      </x:c>
      <x:c r="L4" t="n">
        <x:v>10.6</x:v>
      </x:c>
    </x:row>
    <x:row r="5">
      <x:c r="A5" t="str">
        <x:v>Botswana</x:v>
      </x:c>
      <x:c r="B5" t="str">
        <x:v>Botswana</x:v>
      </x:c>
      <x:c r="C5" t="n">
        <x:v>0.4</x:v>
      </x:c>
      <x:c r="D5" t="n">
        <x:v>0.4</x:v>
      </x:c>
      <x:c r="E5" t="n">
        <x:v>0.4</x:v>
      </x:c>
      <x:c r="F5" t="n">
        <x:v>0.6</x:v>
      </x:c>
      <x:c r="G5" t="n">
        <x:v>0.6</x:v>
      </x:c>
      <x:c r="H5" t="n">
        <x:v>0.7</x:v>
      </x:c>
      <x:c r="I5" t="n">
        <x:v>0.7</x:v>
      </x:c>
      <x:c r="J5" t="n">
        <x:v>1</x:v>
      </x:c>
      <x:c r="K5" t="n">
        <x:v>6.7</x:v>
      </x:c>
      <x:c r="L5" t="n">
        <x:v>15.6</x:v>
      </x:c>
    </x:row>
    <x:row r="6">
      <x:c r="A6" t="str">
        <x:v>Burkina Faso</x:v>
      </x:c>
      <x:c r="B6" t="str">
        <x:v>Burkina Faso</x:v>
      </x:c>
      <x:c r="C6" t="n">
        <x:v>11</x:v>
      </x:c>
      <x:c r="D6" t="n">
        <x:v>19.7</x:v>
      </x:c>
      <x:c r="E6" t="n">
        <x:v>23</x:v>
      </x:c>
      <x:c r="F6" t="n">
        <x:v>21.1</x:v>
      </x:c>
      <x:c r="G6" t="n">
        <x:v>21.2</x:v>
      </x:c>
      <x:c r="H6" t="n">
        <x:v>19.2</x:v>
      </x:c>
      <x:c r="I6" t="n">
        <x:v>24</x:v>
      </x:c>
      <x:c r="J6" t="n">
        <x:v>34.9</x:v>
      </x:c>
      <x:c r="K6" t="n">
        <x:v>38.8</x:v>
      </x:c>
      <x:c r="L6" t="n">
        <x:v>38.8</x:v>
      </x:c>
    </x:row>
    <x:row r="7">
      <x:c r="A7" t="str">
        <x:v>Burundi</x:v>
      </x:c>
      <x:c r="B7" t="str">
        <x:v>Burundi</x:v>
      </x:c>
      <x:c r="C7" t="n">
        <x:v>73.3</x:v>
      </x:c>
      <x:c r="D7" t="n">
        <x:v>51.7</x:v>
      </x:c>
      <x:c r="E7" t="n">
        <x:v>51.8</x:v>
      </x:c>
      <x:c r="F7" t="n">
        <x:v>51.8</x:v>
      </x:c>
      <x:c r="G7" t="n">
        <x:v>51.8</x:v>
      </x:c>
      <x:c r="H7" t="n">
        <x:v>54.8</x:v>
      </x:c>
      <x:c r="I7" t="n">
        <x:v>60.1</x:v>
      </x:c>
      <x:c r="J7" t="n">
        <x:v>60.3</x:v>
      </x:c>
      <x:c r="K7" t="n">
        <x:v>60.5</x:v>
      </x:c>
      <x:c r="L7" t="n">
        <x:v>77.9</x:v>
      </x:c>
    </x:row>
    <x:row r="8">
      <x:c r="A8" t="str">
        <x:v>Cabo Verde</x:v>
      </x:c>
      <x:c r="B8" t="str">
        <x:v>Cabo Verde</x:v>
      </x:c>
      <x:c r="C8" t="n">
        <x:v>18.8</x:v>
      </x:c>
      <x:c r="D8" t="n">
        <x:v>18.9</x:v>
      </x:c>
      <x:c r="E8" t="n">
        <x:v>21.1</x:v>
      </x:c>
      <x:c r="F8" t="n">
        <x:v>23.5</x:v>
      </x:c>
      <x:c r="G8" t="n">
        <x:v>22.7</x:v>
      </x:c>
      <x:c r="H8" t="n">
        <x:v>23.7</x:v>
      </x:c>
      <x:c r="I8" t="n">
        <x:v>23.2</x:v>
      </x:c>
      <x:c r="J8" t="n">
        <x:v>25.1</x:v>
      </x:c>
      <x:c r="K8" t="n">
        <x:v>26.8</x:v>
      </x:c>
      <x:c r="L8" t="n">
        <x:v>31.6</x:v>
      </x:c>
    </x:row>
    <x:row r="9">
      <x:c r="A9" t="str">
        <x:v>Cameroon</x:v>
      </x:c>
      <x:c r="B9" t="str">
        <x:v>Cameroon</x:v>
      </x:c>
      <x:c r="C9" t="n">
        <x:v>54</x:v>
      </x:c>
      <x:c r="D9" t="n">
        <x:v>52.1</x:v>
      </x:c>
      <x:c r="E9" t="n">
        <x:v>51.9</x:v>
      </x:c>
      <x:c r="F9" t="n">
        <x:v>54.5</x:v>
      </x:c>
      <x:c r="G9" t="n">
        <x:v>54.9</x:v>
      </x:c>
      <x:c r="H9" t="n">
        <x:v>55.2</x:v>
      </x:c>
      <x:c r="I9" t="n">
        <x:v>55.2</x:v>
      </x:c>
      <x:c r="J9" t="n">
        <x:v>59.9</x:v>
      </x:c>
      <x:c r="K9" t="n">
        <x:v>68.1</x:v>
      </x:c>
      <x:c r="L9" t="n">
        <x:v>68.1</x:v>
      </x:c>
    </x:row>
    <x:row r="10">
      <x:c r="A10" t="str">
        <x:v>Cent Afr Rep</x:v>
      </x:c>
      <x:c r="B10" t="str">
        <x:v>Central African Republic</x:v>
      </x:c>
      <x:c r="C10" t="n">
        <x:v>46.4</x:v>
      </x:c>
      <x:c r="D10" t="n">
        <x:v>46.5</x:v>
      </x:c>
      <x:c r="E10" t="n">
        <x:v>46.5</x:v>
      </x:c>
      <x:c r="F10" t="n">
        <x:v>46.5</x:v>
      </x:c>
      <x:c r="G10" t="n">
        <x:v>46.6</x:v>
      </x:c>
      <x:c r="H10" t="n">
        <x:v>21</x:v>
      </x:c>
      <x:c r="I10" t="n">
        <x:v>21</x:v>
      </x:c>
      <x:c r="J10" t="n">
        <x:v>45.2</x:v>
      </x:c>
      <x:c r="K10" t="n">
        <x:v>45.2</x:v>
      </x:c>
      <x:c r="L10" t="n">
        <x:v>45.2</x:v>
      </x:c>
    </x:row>
    <x:row r="11">
      <x:c r="A11" t="str">
        <x:v>Chad</x:v>
      </x:c>
      <x:c r="B11" t="str">
        <x:v>Chad</x:v>
      </x:c>
      <x:c r="C11" t="n">
        <x:v>1.1</x:v>
      </x:c>
      <x:c r="D11" t="n">
        <x:v>1.2</x:v>
      </x:c>
      <x:c r="E11" t="n">
        <x:v>1.3</x:v>
      </x:c>
      <x:c r="F11" t="n">
        <x:v>1.3</x:v>
      </x:c>
      <x:c r="G11" t="n">
        <x:v>1.5</x:v>
      </x:c>
      <x:c r="H11" t="n">
        <x:v>1.6</x:v>
      </x:c>
      <x:c r="I11" t="n">
        <x:v>1.7</x:v>
      </x:c>
      <x:c r="J11" t="n">
        <x:v>1.7</x:v>
      </x:c>
      <x:c r="K11" t="n">
        <x:v>1.7</x:v>
      </x:c>
      <x:c r="L11" t="n">
        <x:v>28.8</x:v>
      </x:c>
    </x:row>
    <x:row r="12">
      <x:c r="A12" t="str">
        <x:v>Comoros</x:v>
      </x:c>
      <x:c r="B12" t="str">
        <x:v>Comoros</x:v>
      </x:c>
      <x:c r="C12" t="n">
        <x:v>9.4</x:v>
      </x:c>
      <x:c r="D12" t="n">
        <x:v>10.7</x:v>
      </x:c>
      <x:c r="E12" t="n">
        <x:v>10.7</x:v>
      </x:c>
      <x:c r="F12" t="n">
        <x:v>10.8</x:v>
      </x:c>
      <x:c r="G12" t="n">
        <x:v>10.7</x:v>
      </x:c>
      <x:c r="H12" t="n">
        <x:v>18.2</x:v>
      </x:c>
      <x:c r="I12" t="n">
        <x:v>17.2</x:v>
      </x:c>
      <x:c r="J12" t="n">
        <x:v>17.3</x:v>
      </x:c>
      <x:c r="K12" t="n">
        <x:v>17.3</x:v>
      </x:c>
      <x:c r="L12" t="n">
        <x:v>33.4</x:v>
      </x:c>
    </x:row>
    <x:row r="13">
      <x:c r="A13" t="str">
        <x:v>Congo DR</x:v>
      </x:c>
      <x:c r="B13" t="str">
        <x:v>Democratic Republic of the Congo</x:v>
      </x:c>
      <x:c r="C13" t="n">
        <x:v>98.8</x:v>
      </x:c>
      <x:c r="D13" t="n">
        <x:v>98.8</x:v>
      </x:c>
      <x:c r="E13" t="n">
        <x:v>98.8</x:v>
      </x:c>
      <x:c r="F13" t="n">
        <x:v>98.8</x:v>
      </x:c>
      <x:c r="G13" t="n">
        <x:v>98.8</x:v>
      </x:c>
      <x:c r="H13" t="n">
        <x:v>98.8</x:v>
      </x:c>
      <x:c r="I13" t="n">
        <x:v>97.5</x:v>
      </x:c>
      <x:c r="J13" t="n">
        <x:v>97.6</x:v>
      </x:c>
      <x:c r="K13" t="n">
        <x:v>88.6</x:v>
      </x:c>
      <x:c r="L13" t="n">
        <x:v>88.6</x:v>
      </x:c>
    </x:row>
    <x:row r="14">
      <x:c r="A14" t="str">
        <x:v>Congo Rep</x:v>
      </x:c>
      <x:c r="B14" t="str">
        <x:v>Republic of the Congo</x:v>
      </x:c>
      <x:c r="C14" t="n">
        <x:v>33.4</x:v>
      </x:c>
      <x:c r="D14" t="n">
        <x:v>34.6</x:v>
      </x:c>
      <x:c r="E14" t="n">
        <x:v>34.6</x:v>
      </x:c>
      <x:c r="F14" t="n">
        <x:v>34.6</x:v>
      </x:c>
      <x:c r="G14" t="n">
        <x:v>27.5</x:v>
      </x:c>
      <x:c r="H14" t="n">
        <x:v>27.5</x:v>
      </x:c>
      <x:c r="I14" t="n">
        <x:v>27.5</x:v>
      </x:c>
      <x:c r="J14" t="n">
        <x:v>27.5</x:v>
      </x:c>
      <x:c r="K14" t="n">
        <x:v>26.7</x:v>
      </x:c>
      <x:c r="L14" t="n">
        <x:v>22.2</x:v>
      </x:c>
    </x:row>
    <x:row r="15">
      <x:c r="A15" t="str">
        <x:v>Cote d Ivoire</x:v>
      </x:c>
      <x:c r="B15" t="str">
        <x:v>Côte d'Ivoire</x:v>
      </x:c>
      <x:c r="C15" t="n">
        <x:v>31.3</x:v>
      </x:c>
      <x:c r="D15" t="n">
        <x:v>39.9</x:v>
      </x:c>
      <x:c r="E15" t="n">
        <x:v>39.9</x:v>
      </x:c>
      <x:c r="F15" t="n">
        <x:v>39.5</x:v>
      </x:c>
      <x:c r="G15" t="n">
        <x:v>39.5</x:v>
      </x:c>
      <x:c r="H15" t="n">
        <x:v>38.9</x:v>
      </x:c>
      <x:c r="I15" t="n">
        <x:v>34.7</x:v>
      </x:c>
      <x:c r="J15" t="n">
        <x:v>31.4</x:v>
      </x:c>
      <x:c r="K15" t="n">
        <x:v>33.9</x:v>
      </x:c>
      <x:c r="L15" t="n">
        <x:v>33.9</x:v>
      </x:c>
    </x:row>
    <x:row r="16">
      <x:c r="A16" t="str">
        <x:v>Djibouti</x:v>
      </x:c>
      <x:c r="B16" t="str">
        <x:v>Djibouti</x:v>
      </x:c>
      <x:c r="C16" t="n">
        <x:v>0.3</x:v>
      </x:c>
      <x:c r="D16" t="n">
        <x:v>0.3</x:v>
      </x:c>
      <x:c r="E16" t="n">
        <x:v>0.3</x:v>
      </x:c>
      <x:c r="F16" t="n">
        <x:v>0.3</x:v>
      </x:c>
      <x:c r="G16" t="n">
        <x:v>0.3</x:v>
      </x:c>
      <x:c r="H16" t="n">
        <x:v>14.2</x:v>
      </x:c>
      <x:c r="I16" t="n">
        <x:v>14.2</x:v>
      </x:c>
      <x:c r="J16" t="n">
        <x:v>39.5</x:v>
      </x:c>
      <x:c r="K16" t="n">
        <x:v>39.5</x:v>
      </x:c>
      <x:c r="L16" t="n">
        <x:v>39.6</x:v>
      </x:c>
    </x:row>
    <x:row r="17">
      <x:c r="A17" t="str">
        <x:v>Egypt</x:v>
      </x:c>
      <x:c r="B17" t="str">
        <x:v>Egypt</x:v>
      </x:c>
      <x:c r="C17" t="n">
        <x:v>9.5</x:v>
      </x:c>
      <x:c r="D17" t="n">
        <x:v>8.4</x:v>
      </x:c>
      <x:c r="E17" t="n">
        <x:v>8.6</x:v>
      </x:c>
      <x:c r="F17" t="n">
        <x:v>9.7</x:v>
      </x:c>
      <x:c r="G17" t="n">
        <x:v>10</x:v>
      </x:c>
      <x:c r="H17" t="n">
        <x:v>10.5</x:v>
      </x:c>
      <x:c r="I17" t="n">
        <x:v>10.4</x:v>
      </x:c>
      <x:c r="J17" t="n">
        <x:v>11.1</x:v>
      </x:c>
      <x:c r="K17" t="n">
        <x:v>12.5</x:v>
      </x:c>
      <x:c r="L17" t="n">
        <x:v>14.6</x:v>
      </x:c>
    </x:row>
    <x:row r="18">
      <x:c r="A18" t="str">
        <x:v>Eq Guinea</x:v>
      </x:c>
      <x:c r="B18" t="str">
        <x:v>Equatorial Guinea</x:v>
      </x:c>
      <x:c r="C18" t="n">
        <x:v>33.8</x:v>
      </x:c>
      <x:c r="D18" t="n">
        <x:v>31.8</x:v>
      </x:c>
      <x:c r="E18" t="n">
        <x:v>31.8</x:v>
      </x:c>
      <x:c r="F18" t="n">
        <x:v>31.8</x:v>
      </x:c>
      <x:c r="G18" t="n">
        <x:v>31.8</x:v>
      </x:c>
      <x:c r="H18" t="n">
        <x:v>31.7</x:v>
      </x:c>
      <x:c r="I18" t="n">
        <x:v>31.7</x:v>
      </x:c>
      <x:c r="J18" t="n">
        <x:v>31.7</x:v>
      </x:c>
      <x:c r="K18" t="n">
        <x:v>31.7</x:v>
      </x:c>
      <x:c r="L18" t="n">
        <x:v>31.7</x:v>
      </x:c>
    </x:row>
    <x:row r="19">
      <x:c r="A19" t="str">
        <x:v>Eritrea</x:v>
      </x:c>
      <x:c r="B19" t="str">
        <x:v>Eritrea</x:v>
      </x:c>
      <x:c r="C19" t="n">
        <x:v>5.8</x:v>
      </x:c>
      <x:c r="D19" t="n">
        <x:v>10.6</x:v>
      </x:c>
      <x:c r="E19" t="n">
        <x:v>11.5</x:v>
      </x:c>
      <x:c r="F19" t="n">
        <x:v>11.5</x:v>
      </x:c>
      <x:c r="G19" t="n">
        <x:v>11.5</x:v>
      </x:c>
      <x:c r="H19" t="n">
        <x:v>11.2</x:v>
      </x:c>
      <x:c r="I19" t="n">
        <x:v>11.1</x:v>
      </x:c>
      <x:c r="J19" t="n">
        <x:v>11.1</x:v>
      </x:c>
      <x:c r="K19" t="n">
        <x:v>11.1</x:v>
      </x:c>
      <x:c r="L19" t="n">
        <x:v>11.2</x:v>
      </x:c>
    </x:row>
    <x:row r="20">
      <x:c r="A20" t="str">
        <x:v>Eswatini</x:v>
      </x:c>
      <x:c r="B20" t="str">
        <x:v>Eswatini</x:v>
      </x:c>
      <x:c r="C20" t="n">
        <x:v>94.4</x:v>
      </x:c>
      <x:c r="D20" t="n">
        <x:v>94.4</x:v>
      </x:c>
      <x:c r="E20" t="n">
        <x:v>94.4</x:v>
      </x:c>
      <x:c r="F20" t="n">
        <x:v>94.4</x:v>
      </x:c>
      <x:c r="G20" t="n">
        <x:v>94.4</x:v>
      </x:c>
      <x:c r="H20" t="n">
        <x:v>94.7</x:v>
      </x:c>
      <x:c r="I20" t="n">
        <x:v>94.7</x:v>
      </x:c>
      <x:c r="J20" t="n">
        <x:v>95.2</x:v>
      </x:c>
      <x:c r="K20" t="n">
        <x:v>95.2</x:v>
      </x:c>
      <x:c r="L20" t="n">
        <x:v>95.2</x:v>
      </x:c>
    </x:row>
    <x:row r="21">
      <x:c r="A21" t="str">
        <x:v>Ethiopia</x:v>
      </x:c>
      <x:c r="B21" t="str">
        <x:v>Ethiopia</x:v>
      </x:c>
      <x:c r="C21" t="n">
        <x:v>96.4</x:v>
      </x:c>
      <x:c r="D21" t="n">
        <x:v>97.8</x:v>
      </x:c>
      <x:c r="E21" t="n">
        <x:v>98.1</x:v>
      </x:c>
      <x:c r="F21" t="n">
        <x:v>97.7</x:v>
      </x:c>
      <x:c r="G21" t="n">
        <x:v>97.8</x:v>
      </x:c>
      <x:c r="H21" t="n">
        <x:v>97.9</x:v>
      </x:c>
      <x:c r="I21" t="n">
        <x:v>98.2</x:v>
      </x:c>
      <x:c r="J21" t="n">
        <x:v>98.3</x:v>
      </x:c>
      <x:c r="K21" t="n">
        <x:v>98.4</x:v>
      </x:c>
      <x:c r="L21" t="n">
        <x:v>99</x:v>
      </x:c>
    </x:row>
    <x:row r="22">
      <x:c r="A22" t="str">
        <x:v>Gabon</x:v>
      </x:c>
      <x:c r="B22" t="str">
        <x:v>Gabon</x:v>
      </x:c>
      <x:c r="C22" t="n">
        <x:v>36.7</x:v>
      </x:c>
      <x:c r="D22" t="n">
        <x:v>37.4</x:v>
      </x:c>
      <x:c r="E22" t="n">
        <x:v>38.3</x:v>
      </x:c>
      <x:c r="F22" t="n">
        <x:v>45.7</x:v>
      </x:c>
      <x:c r="G22" t="n">
        <x:v>45.7</x:v>
      </x:c>
      <x:c r="H22" t="n">
        <x:v>45.7</x:v>
      </x:c>
      <x:c r="I22" t="n">
        <x:v>45.7</x:v>
      </x:c>
      <x:c r="J22" t="n">
        <x:v>45.7</x:v>
      </x:c>
      <x:c r="K22" t="n">
        <x:v>46.5</x:v>
      </x:c>
      <x:c r="L22" t="n">
        <x:v>38.4</x:v>
      </x:c>
    </x:row>
    <x:row r="23">
      <x:c r="A23" t="str">
        <x:v>Gambia</x:v>
      </x:c>
      <x:c r="B23" t="str">
        <x:v>Gambia</x:v>
      </x:c>
      <x:c r="C23" t="n">
        <x:v>2.9</x:v>
      </x:c>
      <x:c r="D23" t="n">
        <x:v>3.6</x:v>
      </x:c>
      <x:c r="E23" t="n">
        <x:v>1.8</x:v>
      </x:c>
      <x:c r="F23" t="n">
        <x:v>2.1</x:v>
      </x:c>
      <x:c r="G23" t="n">
        <x:v>2.1</x:v>
      </x:c>
      <x:c r="H23" t="n">
        <x:v>1.9</x:v>
      </x:c>
      <x:c r="I23" t="n">
        <x:v>1.8</x:v>
      </x:c>
      <x:c r="J23" t="n">
        <x:v>1.8</x:v>
      </x:c>
      <x:c r="K23" t="n">
        <x:v>14</x:v>
      </x:c>
      <x:c r="L23" t="n">
        <x:v>14</x:v>
      </x:c>
    </x:row>
    <x:row r="24">
      <x:c r="A24" t="str">
        <x:v>Ghana</x:v>
      </x:c>
      <x:c r="B24" t="str">
        <x:v>Ghana</x:v>
      </x:c>
      <x:c r="C24" t="n">
        <x:v>42.7</x:v>
      </x:c>
      <x:c r="D24" t="n">
        <x:v>35.3</x:v>
      </x:c>
      <x:c r="E24" t="n">
        <x:v>34.8</x:v>
      </x:c>
      <x:c r="F24" t="n">
        <x:v>32.5</x:v>
      </x:c>
      <x:c r="G24" t="n">
        <x:v>31.8</x:v>
      </x:c>
      <x:c r="H24" t="n">
        <x:v>31.3</x:v>
      </x:c>
      <x:c r="I24" t="n">
        <x:v>31</x:v>
      </x:c>
      <x:c r="J24" t="n">
        <x:v>31.2</x:v>
      </x:c>
      <x:c r="K24" t="n">
        <x:v>30.2</x:v>
      </x:c>
      <x:c r="L24" t="n">
        <x:v>30.2</x:v>
      </x:c>
    </x:row>
    <x:row r="25">
      <x:c r="A25" t="str">
        <x:v>Guinea</x:v>
      </x:c>
      <x:c r="B25" t="str">
        <x:v>Guinea</x:v>
      </x:c>
      <x:c r="C25" t="n">
        <x:v>62</x:v>
      </x:c>
      <x:c r="D25" t="n">
        <x:v>60.3</x:v>
      </x:c>
      <x:c r="E25" t="n">
        <x:v>60.7</x:v>
      </x:c>
      <x:c r="F25" t="n">
        <x:v>62.5</x:v>
      </x:c>
      <x:c r="G25" t="n">
        <x:v>61.6</x:v>
      </x:c>
      <x:c r="H25" t="n">
        <x:v>66</x:v>
      </x:c>
      <x:c r="I25" t="n">
        <x:v>66</x:v>
      </x:c>
      <x:c r="J25" t="n">
        <x:v>66</x:v>
      </x:c>
      <x:c r="K25" t="n">
        <x:v>66</x:v>
      </x:c>
      <x:c r="L25" t="n">
        <x:v>66</x:v>
      </x:c>
    </x:row>
    <x:row r="26">
      <x:c r="A26" t="str">
        <x:v>Guinea Bissau</x:v>
      </x:c>
      <x:c r="B26" t="str">
        <x:v>Guinea-Bissau</x:v>
      </x:c>
      <x:c r="C26" t="n">
        <x:v>2.4</x:v>
      </x:c>
      <x:c r="D26" t="n">
        <x:v>3.3</x:v>
      </x:c>
      <x:c r="E26" t="n">
        <x:v>6.1</x:v>
      </x:c>
      <x:c r="F26" t="n">
        <x:v>6.1</x:v>
      </x:c>
      <x:c r="G26" t="n">
        <x:v>5.9</x:v>
      </x:c>
      <x:c r="H26" t="n">
        <x:v>6.8</x:v>
      </x:c>
      <x:c r="I26" t="n">
        <x:v>6.1</x:v>
      </x:c>
      <x:c r="J26" t="n">
        <x:v>6.7</x:v>
      </x:c>
      <x:c r="K26" t="n">
        <x:v>8.9</x:v>
      </x:c>
      <x:c r="L26" t="n">
        <x:v>8.9</x:v>
      </x:c>
    </x:row>
    <x:row r="27">
      <x:c r="A27" t="str">
        <x:v>Kenya</x:v>
      </x:c>
      <x:c r="B27" t="str">
        <x:v>Kenya</x:v>
      </x:c>
      <x:c r="C27" t="n">
        <x:v>66.1</x:v>
      </x:c>
      <x:c r="D27" t="n">
        <x:v>67.4</x:v>
      </x:c>
      <x:c r="E27" t="n">
        <x:v>71.7</x:v>
      </x:c>
      <x:c r="F27" t="n">
        <x:v>71.9</x:v>
      </x:c>
      <x:c r="G27" t="n">
        <x:v>75.1</x:v>
      </x:c>
      <x:c r="H27" t="n">
        <x:v>76.4</x:v>
      </x:c>
      <x:c r="I27" t="n">
        <x:v>79.3</x:v>
      </x:c>
      <x:c r="J27" t="n">
        <x:v>82.6</x:v>
      </x:c>
      <x:c r="K27" t="n">
        <x:v>83</x:v>
      </x:c>
      <x:c r="L27" t="n">
        <x:v>82.9</x:v>
      </x:c>
    </x:row>
    <x:row r="28">
      <x:c r="A28" t="str">
        <x:v>Lesotho</x:v>
      </x:c>
      <x:c r="B28" t="str">
        <x:v>Lesotho</x:v>
      </x:c>
      <x:c r="C28" t="n">
        <x:v>99.3</x:v>
      </x:c>
      <x:c r="D28" t="n">
        <x:v>99.3</x:v>
      </x:c>
      <x:c r="E28" t="n">
        <x:v>99.3</x:v>
      </x:c>
      <x:c r="F28" t="n">
        <x:v>99.3</x:v>
      </x:c>
      <x:c r="G28" t="n">
        <x:v>99.3</x:v>
      </x:c>
      <x:c r="H28" t="n">
        <x:v>99.3</x:v>
      </x:c>
      <x:c r="I28" t="n">
        <x:v>99.3</x:v>
      </x:c>
      <x:c r="J28" t="n">
        <x:v>99.4</x:v>
      </x:c>
      <x:c r="K28" t="n">
        <x:v>99.4</x:v>
      </x:c>
      <x:c r="L28" t="n">
        <x:v>99.4</x:v>
      </x:c>
    </x:row>
    <x:row r="29">
      <x:c r="A29" t="str">
        <x:v>Liberia</x:v>
      </x:c>
      <x:c r="B29" t="str">
        <x:v>Liberia</x:v>
      </x:c>
      <x:c r="C29" t="n">
        <x:v>21.8</x:v>
      </x:c>
      <x:c r="D29" t="n">
        <x:v>48.9</x:v>
      </x:c>
      <x:c r="E29" t="n">
        <x:v>49</x:v>
      </x:c>
      <x:c r="F29" t="n">
        <x:v>49.1</x:v>
      </x:c>
      <x:c r="G29" t="n">
        <x:v>49.3</x:v>
      </x:c>
      <x:c r="H29" t="n">
        <x:v>49.4</x:v>
      </x:c>
      <x:c r="I29" t="n">
        <x:v>49.6</x:v>
      </x:c>
      <x:c r="J29" t="n">
        <x:v>49.7</x:v>
      </x:c>
      <x:c r="K29" t="n">
        <x:v>49.7</x:v>
      </x:c>
      <x:c r="L29" t="n">
        <x:v>50.2</x:v>
      </x:c>
    </x:row>
    <x:row r="30">
      <x:c r="A30" t="str">
        <x:v>Libya</x:v>
      </x:c>
      <x:c r="B30" t="str">
        <x:v>Libya</x:v>
      </x:c>
      <x:c r="C30" t="n">
        <x:v>0.1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0.1</x:v>
      </x:c>
      <x:c r="I30" t="n">
        <x:v>0.1</x:v>
      </x:c>
      <x:c r="J30" t="n">
        <x:v>0.1</x:v>
      </x:c>
      <x:c r="K30" t="n">
        <x:v>0.1</x:v>
      </x:c>
      <x:c r="L30" t="n">
        <x:v>0.1</x:v>
      </x:c>
    </x:row>
    <x:row r="31">
      <x:c r="A31" t="str">
        <x:v>Madagascar</x:v>
      </x:c>
      <x:c r="B31" t="str">
        <x:v>Madagascar</x:v>
      </x:c>
      <x:c r="C31" t="n">
        <x:v>24.3</x:v>
      </x:c>
      <x:c r="D31" t="n">
        <x:v>22.4</x:v>
      </x:c>
      <x:c r="E31" t="n">
        <x:v>23.1</x:v>
      </x:c>
      <x:c r="F31" t="n">
        <x:v>23.2</x:v>
      </x:c>
      <x:c r="G31" t="n">
        <x:v>23.3</x:v>
      </x:c>
      <x:c r="H31" t="n">
        <x:v>23.3</x:v>
      </x:c>
      <x:c r="I31" t="n">
        <x:v>28.2</x:v>
      </x:c>
      <x:c r="J31" t="n">
        <x:v>28.7</x:v>
      </x:c>
      <x:c r="K31" t="n">
        <x:v>28.8</x:v>
      </x:c>
      <x:c r="L31" t="n">
        <x:v>29.1</x:v>
      </x:c>
    </x:row>
    <x:row r="32">
      <x:c r="A32" t="str">
        <x:v>Malawi</x:v>
      </x:c>
      <x:c r="B32" t="str">
        <x:v>Malawi</x:v>
      </x:c>
      <x:c r="C32" t="n">
        <x:v>91.6</x:v>
      </x:c>
      <x:c r="D32" t="n">
        <x:v>80.6</x:v>
      </x:c>
      <x:c r="E32" t="n">
        <x:v>76.6</x:v>
      </x:c>
      <x:c r="F32" t="n">
        <x:v>74.9</x:v>
      </x:c>
      <x:c r="G32" t="n">
        <x:v>74.9</x:v>
      </x:c>
      <x:c r="H32" t="n">
        <x:v>78.2</x:v>
      </x:c>
      <x:c r="I32" t="n">
        <x:v>79.6</x:v>
      </x:c>
      <x:c r="J32" t="n">
        <x:v>79.6</x:v>
      </x:c>
      <x:c r="K32" t="n">
        <x:v>79.6</x:v>
      </x:c>
      <x:c r="L32" t="n">
        <x:v>79.6</x:v>
      </x:c>
    </x:row>
    <x:row r="33">
      <x:c r="A33" t="str">
        <x:v>Mali</x:v>
      </x:c>
      <x:c r="B33" t="str">
        <x:v>Mali</x:v>
      </x:c>
      <x:c r="C33" t="n">
        <x:v>43.9</x:v>
      </x:c>
      <x:c r="D33" t="n">
        <x:v>44.3</x:v>
      </x:c>
      <x:c r="E33" t="n">
        <x:v>44.4</x:v>
      </x:c>
      <x:c r="F33" t="n">
        <x:v>43.8</x:v>
      </x:c>
      <x:c r="G33" t="n">
        <x:v>46.4</x:v>
      </x:c>
      <x:c r="H33" t="n">
        <x:v>48</x:v>
      </x:c>
      <x:c r="I33" t="n">
        <x:v>53.8</x:v>
      </x:c>
      <x:c r="J33" t="n">
        <x:v>49.3</x:v>
      </x:c>
      <x:c r="K33" t="n">
        <x:v>50.9</x:v>
      </x:c>
      <x:c r="L33" t="n">
        <x:v>50.9</x:v>
      </x:c>
    </x:row>
    <x:row r="34">
      <x:c r="A34" t="str">
        <x:v>Mauritania</x:v>
      </x:c>
      <x:c r="B34" t="str">
        <x:v>Mauritania</x:v>
      </x:c>
      <x:c r="C34" t="n">
        <x:v>14.3</x:v>
      </x:c>
      <x:c r="D34" t="n">
        <x:v>14.3</x:v>
      </x:c>
      <x:c r="E34" t="n">
        <x:v>21.2</x:v>
      </x:c>
      <x:c r="F34" t="n">
        <x:v>20.8</x:v>
      </x:c>
      <x:c r="G34" t="n">
        <x:v>20.8</x:v>
      </x:c>
      <x:c r="H34" t="n">
        <x:v>19.5</x:v>
      </x:c>
      <x:c r="I34" t="n">
        <x:v>19.7</x:v>
      </x:c>
      <x:c r="J34" t="n">
        <x:v>34</x:v>
      </x:c>
      <x:c r="K34" t="n">
        <x:v>36.8</x:v>
      </x:c>
      <x:c r="L34" t="n">
        <x:v>36.4</x:v>
      </x:c>
    </x:row>
    <x:row r="35">
      <x:c r="A35" t="str">
        <x:v>Mauritius</x:v>
      </x:c>
      <x:c r="B35" t="str">
        <x:v>Mauritius</x:v>
      </x:c>
      <x:c r="C35" t="n">
        <x:v>22.6</x:v>
      </x:c>
      <x:c r="D35" t="n">
        <x:v>21.2</x:v>
      </x:c>
      <x:c r="E35" t="n">
        <x:v>26.9</x:v>
      </x:c>
      <x:c r="F35" t="n">
        <x:v>29</x:v>
      </x:c>
      <x:c r="G35" t="n">
        <x:v>29.9</x:v>
      </x:c>
      <x:c r="H35" t="n">
        <x:v>30.4</x:v>
      </x:c>
      <x:c r="I35" t="n">
        <x:v>30.4</x:v>
      </x:c>
      <x:c r="J35" t="n">
        <x:v>32.2</x:v>
      </x:c>
      <x:c r="K35" t="n">
        <x:v>33.2</x:v>
      </x:c>
      <x:c r="L35" t="n">
        <x:v>33.2</x:v>
      </x:c>
    </x:row>
    <x:row r="36">
      <x:c r="A36" t="str">
        <x:v>Morocco</x:v>
      </x:c>
      <x:c r="B36" t="str">
        <x:v>Morocco</x:v>
      </x:c>
      <x:c r="C36" t="n">
        <x:v>28.9</x:v>
      </x:c>
      <x:c r="D36" t="n">
        <x:v>28.7</x:v>
      </x:c>
      <x:c r="E36" t="n">
        <x:v>29.8</x:v>
      </x:c>
      <x:c r="F36" t="n">
        <x:v>30.5</x:v>
      </x:c>
      <x:c r="G36" t="n">
        <x:v>33</x:v>
      </x:c>
      <x:c r="H36" t="n">
        <x:v>33.1</x:v>
      </x:c>
      <x:c r="I36" t="n">
        <x:v>34.3</x:v>
      </x:c>
      <x:c r="J36" t="n">
        <x:v>36.9</x:v>
      </x:c>
      <x:c r="K36" t="n">
        <x:v>38.7</x:v>
      </x:c>
      <x:c r="L36" t="n">
        <x:v>39.6</x:v>
      </x:c>
    </x:row>
    <x:row r="37">
      <x:c r="A37" t="str">
        <x:v>Mozambique</x:v>
      </x:c>
      <x:c r="B37" t="str">
        <x:v>Mozambique</x:v>
      </x:c>
      <x:c r="C37" t="n">
        <x:v>79.9</x:v>
      </x:c>
      <x:c r="D37" t="n">
        <x:v>80.4</x:v>
      </x:c>
      <x:c r="E37" t="n">
        <x:v>77.5</x:v>
      </x:c>
      <x:c r="F37" t="n">
        <x:v>77.8</x:v>
      </x:c>
      <x:c r="G37" t="n">
        <x:v>78.5</x:v>
      </x:c>
      <x:c r="H37" t="n">
        <x:v>78.6</x:v>
      </x:c>
      <x:c r="I37" t="n">
        <x:v>77.7</x:v>
      </x:c>
      <x:c r="J37" t="n">
        <x:v>78</x:v>
      </x:c>
      <x:c r="K37" t="n">
        <x:v>78.1</x:v>
      </x:c>
      <x:c r="L37" t="n">
        <x:v>78.1</x:v>
      </x:c>
    </x:row>
    <x:row r="38">
      <x:c r="A38" t="str">
        <x:v>Namibia</x:v>
      </x:c>
      <x:c r="B38" t="str">
        <x:v>Namibia</x:v>
      </x:c>
      <x:c r="C38" t="n">
        <x:v>67</x:v>
      </x:c>
      <x:c r="D38" t="n">
        <x:v>69.5</x:v>
      </x:c>
      <x:c r="E38" t="n">
        <x:v>72.2</x:v>
      </x:c>
      <x:c r="F38" t="n">
        <x:v>74.6</x:v>
      </x:c>
      <x:c r="G38" t="n">
        <x:v>71.5</x:v>
      </x:c>
      <x:c r="H38" t="n">
        <x:v>71.6</x:v>
      </x:c>
      <x:c r="I38" t="n">
        <x:v>75.7</x:v>
      </x:c>
      <x:c r="J38" t="n">
        <x:v>75.5</x:v>
      </x:c>
      <x:c r="K38" t="n">
        <x:v>75.5</x:v>
      </x:c>
      <x:c r="L38" t="n">
        <x:v>79.2</x:v>
      </x:c>
    </x:row>
    <x:row r="39">
      <x:c r="A39" t="str">
        <x:v>Niger</x:v>
      </x:c>
      <x:c r="B39" t="str">
        <x:v>Niger</x:v>
      </x:c>
      <x:c r="C39" t="n">
        <x:v>2.5</x:v>
      </x:c>
      <x:c r="D39" t="n">
        <x:v>2</x:v>
      </x:c>
      <x:c r="E39" t="n">
        <x:v>4</x:v>
      </x:c>
      <x:c r="F39" t="n">
        <x:v>3.8</x:v>
      </x:c>
      <x:c r="G39" t="n">
        <x:v>4</x:v>
      </x:c>
      <x:c r="H39" t="n">
        <x:v>4</x:v>
      </x:c>
      <x:c r="I39" t="n">
        <x:v>10</x:v>
      </x:c>
      <x:c r="J39" t="n">
        <x:v>15.6</x:v>
      </x:c>
      <x:c r="K39" t="n">
        <x:v>15.6</x:v>
      </x:c>
      <x:c r="L39" t="n">
        <x:v>15.6</x:v>
      </x:c>
    </x:row>
    <x:row r="40">
      <x:c r="A40" t="str">
        <x:v>Nigeria</x:v>
      </x:c>
      <x:c r="B40" t="str">
        <x:v>Nigeria</x:v>
      </x:c>
      <x:c r="C40" t="n">
        <x:v>17.1</x:v>
      </x:c>
      <x:c r="D40" t="n">
        <x:v>17.1</x:v>
      </x:c>
      <x:c r="E40" t="n">
        <x:v>16.5</x:v>
      </x:c>
      <x:c r="F40" t="n">
        <x:v>16.6</x:v>
      </x:c>
      <x:c r="G40" t="n">
        <x:v>16.7</x:v>
      </x:c>
      <x:c r="H40" t="n">
        <x:v>16.9</x:v>
      </x:c>
      <x:c r="I40" t="n">
        <x:v>17.1</x:v>
      </x:c>
      <x:c r="J40" t="n">
        <x:v>21.4</x:v>
      </x:c>
      <x:c r="K40" t="n">
        <x:v>21.6</x:v>
      </x:c>
      <x:c r="L40" t="n">
        <x:v>21.8</x:v>
      </x:c>
    </x:row>
    <x:row r="41">
      <x:c r="A41" t="str">
        <x:v>Rwanda</x:v>
      </x:c>
      <x:c r="B41" t="str">
        <x:v>Rwanda</x:v>
      </x:c>
      <x:c r="C41" t="n">
        <x:v>48.6</x:v>
      </x:c>
      <x:c r="D41" t="n">
        <x:v>49.3</x:v>
      </x:c>
      <x:c r="E41" t="n">
        <x:v>49.4</x:v>
      </x:c>
      <x:c r="F41" t="n">
        <x:v>51.9</x:v>
      </x:c>
      <x:c r="G41" t="n">
        <x:v>53.9</x:v>
      </x:c>
      <x:c r="H41" t="n">
        <x:v>54</x:v>
      </x:c>
      <x:c r="I41" t="n">
        <x:v>48.4</x:v>
      </x:c>
      <x:c r="J41" t="n">
        <x:v>48.4</x:v>
      </x:c>
      <x:c r="K41" t="n">
        <x:v>44.2</x:v>
      </x:c>
      <x:c r="L41" t="n">
        <x:v>37.3</x:v>
      </x:c>
    </x:row>
    <x:row r="42">
      <x:c r="A42" t="str">
        <x:v>Sao Tome Prn</x:v>
      </x:c>
      <x:c r="B42" t="str">
        <x:v>Sao Tome and Principe</x:v>
      </x:c>
      <x:c r="C42" t="n">
        <x:v>7</x:v>
      </x:c>
      <x:c r="D42" t="n">
        <x:v>7.6</x:v>
      </x:c>
      <x:c r="E42" t="n">
        <x:v>7.6</x:v>
      </x:c>
      <x:c r="F42" t="n">
        <x:v>7.4</x:v>
      </x:c>
      <x:c r="G42" t="n">
        <x:v>7.4</x:v>
      </x:c>
      <x:c r="H42" t="n">
        <x:v>7</x:v>
      </x:c>
      <x:c r="I42" t="n">
        <x:v>6.4</x:v>
      </x:c>
      <x:c r="J42" t="n">
        <x:v>12.2</x:v>
      </x:c>
      <x:c r="K42" t="n">
        <x:v>9.3</x:v>
      </x:c>
      <x:c r="L42" t="n">
        <x:v>11.8</x:v>
      </x:c>
    </x:row>
    <x:row r="43">
      <x:c r="A43" t="str">
        <x:v>Senegal</x:v>
      </x:c>
      <x:c r="B43" t="str">
        <x:v>Senegal</x:v>
      </x:c>
      <x:c r="C43" t="n">
        <x:v>12.5</x:v>
      </x:c>
      <x:c r="D43" t="n">
        <x:v>16.8</x:v>
      </x:c>
      <x:c r="E43" t="n">
        <x:v>15.9</x:v>
      </x:c>
      <x:c r="F43" t="n">
        <x:v>21.6</x:v>
      </x:c>
      <x:c r="G43" t="n">
        <x:v>27.6</x:v>
      </x:c>
      <x:c r="H43" t="n">
        <x:v>31.1</x:v>
      </x:c>
      <x:c r="I43" t="n">
        <x:v>28.8</x:v>
      </x:c>
      <x:c r="J43" t="n">
        <x:v>28.8</x:v>
      </x:c>
      <x:c r="K43" t="n">
        <x:v>22</x:v>
      </x:c>
      <x:c r="L43" t="n">
        <x:v>23.3</x:v>
      </x:c>
    </x:row>
    <x:row r="44">
      <x:c r="A44" t="str">
        <x:v>Seychelles</x:v>
      </x:c>
      <x:c r="B44" t="str">
        <x:v>Seychelles</x:v>
      </x:c>
      <x:c r="C44" t="n">
        <x:v>7.1</x:v>
      </x:c>
      <x:c r="D44" t="n">
        <x:v>7.6</x:v>
      </x:c>
      <x:c r="E44" t="n">
        <x:v>8.9</x:v>
      </x:c>
      <x:c r="F44" t="n">
        <x:v>8.4</x:v>
      </x:c>
      <x:c r="G44" t="n">
        <x:v>10.8</x:v>
      </x:c>
      <x:c r="H44" t="n">
        <x:v>17.5</x:v>
      </x:c>
      <x:c r="I44" t="n">
        <x:v>18</x:v>
      </x:c>
      <x:c r="J44" t="n">
        <x:v>18.6</x:v>
      </x:c>
      <x:c r="K44" t="n">
        <x:v>18.8</x:v>
      </x:c>
      <x:c r="L44" t="n">
        <x:v>18.8</x:v>
      </x:c>
    </x:row>
    <x:row r="45">
      <x:c r="A45" t="str">
        <x:v>Sierra Leone</x:v>
      </x:c>
      <x:c r="B45" t="str">
        <x:v>Sierra Leone</x:v>
      </x:c>
      <x:c r="C45" t="n">
        <x:v>55.5</x:v>
      </x:c>
      <x:c r="D45" t="n">
        <x:v>56.8</x:v>
      </x:c>
      <x:c r="E45" t="n">
        <x:v>48.3</x:v>
      </x:c>
      <x:c r="F45" t="n">
        <x:v>41.4</x:v>
      </x:c>
      <x:c r="G45" t="n">
        <x:v>41.6</x:v>
      </x:c>
      <x:c r="H45" t="n">
        <x:v>43.3</x:v>
      </x:c>
      <x:c r="I45" t="n">
        <x:v>44.5</x:v>
      </x:c>
      <x:c r="J45" t="n">
        <x:v>44.6</x:v>
      </x:c>
      <x:c r="K45" t="n">
        <x:v>44.5</x:v>
      </x:c>
      <x:c r="L45" t="n">
        <x:v>44.7</x:v>
      </x:c>
    </x:row>
    <x:row r="46">
      <x:c r="A46" t="str">
        <x:v>Somalia</x:v>
      </x:c>
      <x:c r="B46" t="str">
        <x:v>Somalia</x:v>
      </x:c>
      <x:c r="C46" t="n">
        <x:v>4.7</x:v>
      </x:c>
      <x:c r="D46" t="n">
        <x:v>6</x:v>
      </x:c>
      <x:c r="E46" t="n">
        <x:v>5.5</x:v>
      </x:c>
      <x:c r="F46" t="n">
        <x:v>5.7</x:v>
      </x:c>
      <x:c r="G46" t="n">
        <x:v>12.6</x:v>
      </x:c>
      <x:c r="H46" t="n">
        <x:v>17.5</x:v>
      </x:c>
      <x:c r="I46" t="n">
        <x:v>30.2</x:v>
      </x:c>
      <x:c r="J46" t="n">
        <x:v>31.8</x:v>
      </x:c>
      <x:c r="K46" t="n">
        <x:v>14.2</x:v>
      </x:c>
      <x:c r="L46" t="n">
        <x:v>14.2</x:v>
      </x:c>
    </x:row>
    <x:row r="47">
      <x:c r="A47" t="str">
        <x:v>South Africa</x:v>
      </x:c>
      <x:c r="B47" t="str">
        <x:v>South Africa</x:v>
      </x:c>
      <x:c r="C47" t="n">
        <x:v>8.7</x:v>
      </x:c>
      <x:c r="D47" t="n">
        <x:v>10.2</x:v>
      </x:c>
      <x:c r="E47" t="n">
        <x:v>10.4</x:v>
      </x:c>
      <x:c r="F47" t="n">
        <x:v>10.9</x:v>
      </x:c>
      <x:c r="G47" t="n">
        <x:v>12.5</x:v>
      </x:c>
      <x:c r="H47" t="n">
        <x:v>12.9</x:v>
      </x:c>
      <x:c r="I47" t="n">
        <x:v>15.9</x:v>
      </x:c>
      <x:c r="J47" t="n">
        <x:v>19.4</x:v>
      </x:c>
      <x:c r="K47" t="n">
        <x:v>20.7</x:v>
      </x:c>
      <x:c r="L47" t="n">
        <x:v>23.7</x:v>
      </x:c>
    </x:row>
    <x:row r="48">
      <x:c r="A48" t="str">
        <x:v>South Sudan</x:v>
      </x:c>
      <x:c r="B48" t="str">
        <x:v>South Sudan</x:v>
      </x:c>
      <x:c r="C48" t="n">
        <x:v>1.5</x:v>
      </x:c>
      <x:c r="D48" t="n">
        <x:v>1.5</x:v>
      </x:c>
      <x:c r="E48" t="n">
        <x:v>1.7</x:v>
      </x:c>
      <x:c r="F48" t="n">
        <x:v>1.5</x:v>
      </x:c>
      <x:c r="G48" t="n">
        <x:v>2.2</x:v>
      </x:c>
      <x:c r="H48" t="n">
        <x:v>2.1</x:v>
      </x:c>
      <x:c r="I48" t="n">
        <x:v>2.3</x:v>
      </x:c>
      <x:c r="J48" t="n">
        <x:v>7.9</x:v>
      </x:c>
      <x:c r="K48" t="n">
        <x:v>13.5</x:v>
      </x:c>
      <x:c r="L48" t="n">
        <x:v>18.6</x:v>
      </x:c>
    </x:row>
    <x:row r="49">
      <x:c r="A49" t="str">
        <x:v>Sudan</x:v>
      </x:c>
      <x:c r="B49" t="str">
        <x:v>Sudan</x:v>
      </x:c>
      <x:c r="C49" t="n">
        <x:v>46.1</x:v>
      </x:c>
      <x:c r="D49" t="n">
        <x:v>46.2</x:v>
      </x:c>
      <x:c r="E49" t="n">
        <x:v>47.4</x:v>
      </x:c>
      <x:c r="F49" t="n">
        <x:v>47.7</x:v>
      </x:c>
      <x:c r="G49" t="n">
        <x:v>48.2</x:v>
      </x:c>
      <x:c r="H49" t="n">
        <x:v>48.4</x:v>
      </x:c>
      <x:c r="I49" t="n">
        <x:v>49.2</x:v>
      </x:c>
      <x:c r="J49" t="n">
        <x:v>49.2</x:v>
      </x:c>
      <x:c r="K49" t="n">
        <x:v>49.2</x:v>
      </x:c>
      <x:c r="L49" t="n">
        <x:v>49.2</x:v>
      </x:c>
    </x:row>
    <x:row r="50">
      <x:c r="A50" t="str">
        <x:v>Tanzania</x:v>
      </x:c>
      <x:c r="B50" t="str">
        <x:v>United Republic of Tanzania</x:v>
      </x:c>
      <x:c r="C50" t="n">
        <x:v>44.7</x:v>
      </x:c>
      <x:c r="D50" t="n">
        <x:v>47.9</x:v>
      </x:c>
      <x:c r="E50" t="n">
        <x:v>40</x:v>
      </x:c>
      <x:c r="F50" t="n">
        <x:v>39.9</x:v>
      </x:c>
      <x:c r="G50" t="n">
        <x:v>39.8</x:v>
      </x:c>
      <x:c r="H50" t="n">
        <x:v>37.1</x:v>
      </x:c>
      <x:c r="I50" t="n">
        <x:v>35.5</x:v>
      </x:c>
      <x:c r="J50" t="n">
        <x:v>37.2</x:v>
      </x:c>
      <x:c r="K50" t="n">
        <x:v>53.5</x:v>
      </x:c>
      <x:c r="L50" t="n">
        <x:v>69.2</x:v>
      </x:c>
    </x:row>
    <x:row r="51">
      <x:c r="A51" t="str">
        <x:v>Togo</x:v>
      </x:c>
      <x:c r="B51" t="str">
        <x:v>Togo</x:v>
      </x:c>
      <x:c r="C51" t="n">
        <x:v>27.9</x:v>
      </x:c>
      <x:c r="D51" t="n">
        <x:v>28.1</x:v>
      </x:c>
      <x:c r="E51" t="n">
        <x:v>29</x:v>
      </x:c>
      <x:c r="F51" t="n">
        <x:v>29.8</x:v>
      </x:c>
      <x:c r="G51" t="n">
        <x:v>30.8</x:v>
      </x:c>
      <x:c r="H51" t="n">
        <x:v>37.2</x:v>
      </x:c>
      <x:c r="I51" t="n">
        <x:v>37.6</x:v>
      </x:c>
      <x:c r="J51" t="n">
        <x:v>37.7</x:v>
      </x:c>
      <x:c r="K51" t="n">
        <x:v>37.8</x:v>
      </x:c>
      <x:c r="L51" t="n">
        <x:v>43</x:v>
      </x:c>
    </x:row>
    <x:row r="52">
      <x:c r="A52" t="str">
        <x:v>Tunisia</x:v>
      </x:c>
      <x:c r="B52" t="str">
        <x:v>Tunisia</x:v>
      </x:c>
      <x:c r="C52" t="n">
        <x:v>6.5</x:v>
      </x:c>
      <x:c r="D52" t="n">
        <x:v>6.5</x:v>
      </x:c>
      <x:c r="E52" t="n">
        <x:v>7.3</x:v>
      </x:c>
      <x:c r="F52" t="n">
        <x:v>7.2</x:v>
      </x:c>
      <x:c r="G52" t="n">
        <x:v>6.8</x:v>
      </x:c>
      <x:c r="H52" t="n">
        <x:v>6.8</x:v>
      </x:c>
      <x:c r="I52" t="n">
        <x:v>7.7</x:v>
      </x:c>
      <x:c r="J52" t="n">
        <x:v>11.9</x:v>
      </x:c>
      <x:c r="K52" t="n">
        <x:v>15.2</x:v>
      </x:c>
      <x:c r="L52" t="n">
        <x:v>16.6</x:v>
      </x:c>
    </x:row>
    <x:row r="53">
      <x:c r="A53" t="str">
        <x:v>Uganda</x:v>
      </x:c>
      <x:c r="B53" t="str">
        <x:v>Uganda</x:v>
      </x:c>
      <x:c r="C53" t="n">
        <x:v>85.1</x:v>
      </x:c>
      <x:c r="D53" t="n">
        <x:v>85.5</x:v>
      </x:c>
      <x:c r="E53" t="n">
        <x:v>89.7</x:v>
      </x:c>
      <x:c r="F53" t="n">
        <x:v>91.8</x:v>
      </x:c>
      <x:c r="G53" t="n">
        <x:v>92.2</x:v>
      </x:c>
      <x:c r="H53" t="n">
        <x:v>92.6</x:v>
      </x:c>
      <x:c r="I53" t="n">
        <x:v>92.7</x:v>
      </x:c>
      <x:c r="J53" t="n">
        <x:v>94.4</x:v>
      </x:c>
      <x:c r="K53" t="n">
        <x:v>94.9</x:v>
      </x:c>
      <x:c r="L53" t="n">
        <x:v>95</x:v>
      </x:c>
    </x:row>
    <x:row r="54">
      <x:c r="A54" t="str">
        <x:v>Zambia</x:v>
      </x:c>
      <x:c r="B54" t="str">
        <x:v>Zambia</x:v>
      </x:c>
      <x:c r="C54" t="n">
        <x:v>83.8</x:v>
      </x:c>
      <x:c r="D54" t="n">
        <x:v>82.2</x:v>
      </x:c>
      <x:c r="E54" t="n">
        <x:v>82.4</x:v>
      </x:c>
      <x:c r="F54" t="n">
        <x:v>82.9</x:v>
      </x:c>
      <x:c r="G54" t="n">
        <x:v>82.9</x:v>
      </x:c>
      <x:c r="H54" t="n">
        <x:v>84.4</x:v>
      </x:c>
      <x:c r="I54" t="n">
        <x:v>86.3</x:v>
      </x:c>
      <x:c r="J54" t="n">
        <x:v>86.4</x:v>
      </x:c>
      <x:c r="K54" t="n">
        <x:v>86.3</x:v>
      </x:c>
      <x:c r="L54" t="n">
        <x:v>85</x:v>
      </x:c>
    </x:row>
    <x:row r="55">
      <x:c r="A55" t="str">
        <x:v>Zimbabwe</x:v>
      </x:c>
      <x:c r="B55" t="str">
        <x:v>Zimbabwe</x:v>
      </x:c>
      <x:c r="C55" t="n">
        <x:v>42.3</x:v>
      </x:c>
      <x:c r="D55" t="n">
        <x:v>42.4</x:v>
      </x:c>
      <x:c r="E55" t="n">
        <x:v>49.7</x:v>
      </x:c>
      <x:c r="F55" t="n">
        <x:v>49.8</x:v>
      </x:c>
      <x:c r="G55" t="n">
        <x:v>49.8</x:v>
      </x:c>
      <x:c r="H55" t="n">
        <x:v>50.1</x:v>
      </x:c>
      <x:c r="I55" t="n">
        <x:v>49.4</x:v>
      </x:c>
      <x:c r="J55" t="n">
        <x:v>39.8</x:v>
      </x:c>
      <x:c r="K55" t="n">
        <x:v>41</x:v>
      </x:c>
      <x:c r="L55" t="n">
        <x:v>41</x:v>
      </x:c>
    </x:row>
    <x:row r="57">
      <x:c r="A57" s="30" t="str">
        <x:v>Source</x:v>
      </x:c>
      <x:c r="B57" s="12" t="str">
        <x:v>IRENA (2026), Renewable energy statistics 2026; physical PDF page 112; unit: %.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.25" hidden="0" customWidth="1"/>
    <x:col min="4" max="4" width="4.25" hidden="0" customWidth="1"/>
    <x:col min="5" max="5" width="4.25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</x:cols>
  <x:sheetData>
    <x:row r="1">
      <x:c r="A1" s="16" t="str">
        <x:v>IRENA Label</x:v>
      </x:c>
      <x:c r="B1" s="16" t="str">
        <x:v>Country</x:v>
      </x:c>
      <x:c r="C1" s="16" t="str">
        <x:v>2016</x:v>
      </x:c>
      <x:c r="D1" s="16" t="str">
        <x:v>2017</x:v>
      </x:c>
      <x:c r="E1" s="16" t="str">
        <x:v>2018</x:v>
      </x:c>
      <x:c r="F1" s="16" t="str">
        <x:v>2019</x:v>
      </x:c>
      <x:c r="G1" s="16" t="str">
        <x:v>2020</x:v>
      </x:c>
      <x:c r="H1" s="16" t="str">
        <x:v>2021</x:v>
      </x:c>
      <x:c r="I1" s="16" t="str">
        <x:v>2022</x:v>
      </x:c>
      <x:c r="J1" s="16" t="str">
        <x:v>2023</x:v>
      </x:c>
      <x:c r="K1" s="16" t="str">
        <x:v>2024</x:v>
      </x:c>
    </x:row>
    <x:row r="2">
      <x:c r="A2" t="str">
        <x:v>Algeria</x:v>
      </x:c>
      <x:c r="B2" t="str">
        <x:v>Algeria</x:v>
      </x:c>
      <x:c r="C2" t="n">
        <x:v>0.7</x:v>
      </x:c>
      <x:c r="D2" t="n">
        <x:v>0.7</x:v>
      </x:c>
      <x:c r="E2" t="n">
        <x:v>1.1</x:v>
      </x:c>
      <x:c r="F2" t="n">
        <x:v>1.1</x:v>
      </x:c>
      <x:c r="G2" t="n">
        <x:v>1.1</x:v>
      </x:c>
      <x:c r="H2" t="n">
        <x:v>1</x:v>
      </x:c>
      <x:c r="I2" t="n">
        <x:v>1</x:v>
      </x:c>
      <x:c r="J2" t="n">
        <x:v>1</x:v>
      </x:c>
      <x:c r="K2" t="n">
        <x:v>1</x:v>
      </x:c>
    </x:row>
    <x:row r="3">
      <x:c r="A3" t="str">
        <x:v>Angola</x:v>
      </x:c>
      <x:c r="B3" t="str">
        <x:v>Angola</x:v>
      </x:c>
      <x:c r="C3" t="n">
        <x:v>52.6</x:v>
      </x:c>
      <x:c r="D3" t="n">
        <x:v>64.4</x:v>
      </x:c>
      <x:c r="E3" t="n">
        <x:v>72.3</x:v>
      </x:c>
      <x:c r="F3" t="n">
        <x:v>72.9</x:v>
      </x:c>
      <x:c r="G3" t="n">
        <x:v>80.5</x:v>
      </x:c>
      <x:c r="H3" t="n">
        <x:v>74</x:v>
      </x:c>
      <x:c r="I3" t="n">
        <x:v>76.3</x:v>
      </x:c>
      <x:c r="J3" t="n">
        <x:v>75</x:v>
      </x:c>
      <x:c r="K3" t="n">
        <x:v>74.1</x:v>
      </x:c>
    </x:row>
    <x:row r="4">
      <x:c r="A4" t="str">
        <x:v>Benin</x:v>
      </x:c>
      <x:c r="B4" t="str">
        <x:v>Benin</x:v>
      </x:c>
      <x:c r="C4" t="n">
        <x:v>1.3</x:v>
      </x:c>
      <x:c r="D4" t="n">
        <x:v>1.2</x:v>
      </x:c>
      <x:c r="E4" t="n">
        <x:v>1.3</x:v>
      </x:c>
      <x:c r="F4" t="n">
        <x:v>0.4</x:v>
      </x:c>
      <x:c r="G4" t="n">
        <x:v>0.5</x:v>
      </x:c>
      <x:c r="H4" t="n">
        <x:v>0.7</x:v>
      </x:c>
      <x:c r="I4" t="n">
        <x:v>3.3</x:v>
      </x:c>
      <x:c r="J4" t="n">
        <x:v>3.5</x:v>
      </x:c>
      <x:c r="K4" t="n">
        <x:v>3.5</x:v>
      </x:c>
    </x:row>
    <x:row r="5">
      <x:c r="A5" t="str">
        <x:v>Botswana</x:v>
      </x:c>
      <x:c r="B5" t="str">
        <x:v>Botswana</x:v>
      </x:c>
      <x:c r="C5" t="n">
        <x:v>0.2</x:v>
      </x:c>
      <x:c r="D5" t="n">
        <x:v>0.2</x:v>
      </x:c>
      <x:c r="E5" t="n">
        <x:v>0.2</x:v>
      </x:c>
      <x:c r="F5" t="n">
        <x:v>0.2</x:v>
      </x:c>
      <x:c r="G5" t="n">
        <x:v>0.3</x:v>
      </x:c>
      <x:c r="H5" t="n">
        <x:v>0.3</x:v>
      </x:c>
      <x:c r="I5" t="n">
        <x:v>0.2</x:v>
      </x:c>
      <x:c r="J5" t="n">
        <x:v>0.2</x:v>
      </x:c>
      <x:c r="K5" t="n">
        <x:v>0.2</x:v>
      </x:c>
    </x:row>
    <x:row r="6">
      <x:c r="A6" t="str">
        <x:v>Burkina Faso</x:v>
      </x:c>
      <x:c r="B6" t="str">
        <x:v>Burkina Faso</x:v>
      </x:c>
      <x:c r="C6" t="n">
        <x:v>14.8</x:v>
      </x:c>
      <x:c r="D6" t="n">
        <x:v>13.1</x:v>
      </x:c>
      <x:c r="E6" t="n">
        <x:v>16.8</x:v>
      </x:c>
      <x:c r="F6" t="n">
        <x:v>25.1</x:v>
      </x:c>
      <x:c r="G6" t="n">
        <x:v>27.8</x:v>
      </x:c>
      <x:c r="H6" t="n">
        <x:v>24.3</x:v>
      </x:c>
      <x:c r="I6" t="n">
        <x:v>23.7</x:v>
      </x:c>
      <x:c r="J6" t="n">
        <x:v>24.5</x:v>
      </x:c>
      <x:c r="K6" t="n">
        <x:v>31.6</x:v>
      </x:c>
    </x:row>
    <x:row r="7">
      <x:c r="A7" t="str">
        <x:v>Burundi</x:v>
      </x:c>
      <x:c r="B7" t="str">
        <x:v>Burundi</x:v>
      </x:c>
      <x:c r="C7" t="n">
        <x:v>91.4</x:v>
      </x:c>
      <x:c r="D7" t="n">
        <x:v>71</x:v>
      </x:c>
      <x:c r="E7" t="n">
        <x:v>68.2</x:v>
      </x:c>
      <x:c r="F7" t="n">
        <x:v>64.6</x:v>
      </x:c>
      <x:c r="G7" t="n">
        <x:v>75.8</x:v>
      </x:c>
      <x:c r="H7" t="n">
        <x:v>68.3</x:v>
      </x:c>
      <x:c r="I7" t="n">
        <x:v>73</x:v>
      </x:c>
      <x:c r="J7" t="n">
        <x:v>95.6</x:v>
      </x:c>
      <x:c r="K7" t="n">
        <x:v>97.3</x:v>
      </x:c>
    </x:row>
    <x:row r="8">
      <x:c r="A8" t="str">
        <x:v>Cabo Verde</x:v>
      </x:c>
      <x:c r="B8" t="str">
        <x:v>Cabo Verde</x:v>
      </x:c>
      <x:c r="C8" t="n">
        <x:v>18.7</x:v>
      </x:c>
      <x:c r="D8" t="n">
        <x:v>17.8</x:v>
      </x:c>
      <x:c r="E8" t="n">
        <x:v>21.1</x:v>
      </x:c>
      <x:c r="F8" t="n">
        <x:v>19</x:v>
      </x:c>
      <x:c r="G8" t="n">
        <x:v>17.2</x:v>
      </x:c>
      <x:c r="H8" t="n">
        <x:v>18.7</x:v>
      </x:c>
      <x:c r="I8" t="n">
        <x:v>17.3</x:v>
      </x:c>
      <x:c r="J8" t="n">
        <x:v>16.5</x:v>
      </x:c>
      <x:c r="K8" t="n">
        <x:v>21.5</x:v>
      </x:c>
    </x:row>
    <x:row r="9">
      <x:c r="A9" t="str">
        <x:v>Cameroon</x:v>
      </x:c>
      <x:c r="B9" t="str">
        <x:v>Cameroon</x:v>
      </x:c>
      <x:c r="C9" t="n">
        <x:v>74.5</x:v>
      </x:c>
      <x:c r="D9" t="n">
        <x:v>74.6</x:v>
      </x:c>
      <x:c r="E9" t="n">
        <x:v>72.4</x:v>
      </x:c>
      <x:c r="F9" t="n">
        <x:v>75.9</x:v>
      </x:c>
      <x:c r="G9" t="n">
        <x:v>76.7</x:v>
      </x:c>
      <x:c r="H9" t="n">
        <x:v>76.8</x:v>
      </x:c>
      <x:c r="I9" t="n">
        <x:v>76.8</x:v>
      </x:c>
      <x:c r="J9" t="n">
        <x:v>77.1</x:v>
      </x:c>
      <x:c r="K9" t="n">
        <x:v>77.1</x:v>
      </x:c>
    </x:row>
    <x:row r="10">
      <x:c r="A10" t="str">
        <x:v>Cent Afr Rep</x:v>
      </x:c>
      <x:c r="B10" t="str">
        <x:v>Central African Republic</x:v>
      </x:c>
      <x:c r="C10" t="n">
        <x:v>95.6</x:v>
      </x:c>
      <x:c r="D10" t="n">
        <x:v>96.5</x:v>
      </x:c>
      <x:c r="E10" t="n">
        <x:v>96.5</x:v>
      </x:c>
      <x:c r="F10" t="n">
        <x:v>96.5</x:v>
      </x:c>
      <x:c r="G10" t="n">
        <x:v>96.5</x:v>
      </x:c>
      <x:c r="H10" t="n">
        <x:v>96.5</x:v>
      </x:c>
      <x:c r="I10" t="n">
        <x:v>96.5</x:v>
      </x:c>
      <x:c r="J10" t="n">
        <x:v>97.5</x:v>
      </x:c>
      <x:c r="K10" t="n">
        <x:v>97.5</x:v>
      </x:c>
    </x:row>
    <x:row r="11">
      <x:c r="A11" t="str">
        <x:v>Chad</x:v>
      </x:c>
      <x:c r="B11" t="str">
        <x:v>Chad</x:v>
      </x:c>
      <x:c r="C11" t="n">
        <x:v>4.4</x:v>
      </x:c>
      <x:c r="D11" t="n">
        <x:v>4.5</x:v>
      </x:c>
      <x:c r="E11" t="n">
        <x:v>4.7</x:v>
      </x:c>
      <x:c r="F11" t="n">
        <x:v>4.4</x:v>
      </x:c>
      <x:c r="G11" t="n">
        <x:v>4.7</x:v>
      </x:c>
      <x:c r="H11" t="n">
        <x:v>5</x:v>
      </x:c>
      <x:c r="I11" t="n">
        <x:v>4.9</x:v>
      </x:c>
      <x:c r="J11" t="n">
        <x:v>4.9</x:v>
      </x:c>
      <x:c r="K11" t="n">
        <x:v>5.1</x:v>
      </x:c>
    </x:row>
    <x:row r="12">
      <x:c r="A12" t="str">
        <x:v>Comoros</x:v>
      </x:c>
      <x:c r="B12" t="str">
        <x:v>Comoros</x:v>
      </x:c>
      <x:c r="C12" t="n">
        <x:v>2.2</x:v>
      </x:c>
      <x:c r="D12" t="n">
        <x:v>3.2</x:v>
      </x:c>
      <x:c r="E12" t="n">
        <x:v>3.2</x:v>
      </x:c>
      <x:c r="F12" t="n">
        <x:v>3.2</x:v>
      </x:c>
      <x:c r="G12" t="n">
        <x:v>3.2</x:v>
      </x:c>
      <x:c r="H12" t="n">
        <x:v>8.8</x:v>
      </x:c>
      <x:c r="I12" t="n">
        <x:v>8</x:v>
      </x:c>
      <x:c r="J12" t="n">
        <x:v>8.1</x:v>
      </x:c>
      <x:c r="K12" t="n">
        <x:v>8.1</x:v>
      </x:c>
    </x:row>
    <x:row r="13">
      <x:c r="A13" t="str">
        <x:v>Congo DR</x:v>
      </x:c>
      <x:c r="B13" t="str">
        <x:v>Democratic Republic of the Congo</x:v>
      </x:c>
      <x:c r="C13" t="n">
        <x:v>99.3</x:v>
      </x:c>
      <x:c r="D13" t="n">
        <x:v>99.1</x:v>
      </x:c>
      <x:c r="E13" t="n">
        <x:v>98.9</x:v>
      </x:c>
      <x:c r="F13" t="n">
        <x:v>99.1</x:v>
      </x:c>
      <x:c r="G13" t="n">
        <x:v>99.9</x:v>
      </x:c>
      <x:c r="H13" t="n">
        <x:v>100</x:v>
      </x:c>
      <x:c r="I13" t="n">
        <x:v>100</x:v>
      </x:c>
      <x:c r="J13" t="n">
        <x:v>99.9</x:v>
      </x:c>
      <x:c r="K13" t="n">
        <x:v>98.9</x:v>
      </x:c>
    </x:row>
    <x:row r="14">
      <x:c r="A14" t="str">
        <x:v>Congo Rep</x:v>
      </x:c>
      <x:c r="B14" t="str">
        <x:v>Republic of the Congo</x:v>
      </x:c>
      <x:c r="C14" t="n">
        <x:v>41.4</x:v>
      </x:c>
      <x:c r="D14" t="n">
        <x:v>42.8</x:v>
      </x:c>
      <x:c r="E14" t="n">
        <x:v>40.7</x:v>
      </x:c>
      <x:c r="F14" t="n">
        <x:v>40.7</x:v>
      </x:c>
      <x:c r="G14" t="n">
        <x:v>40.7</x:v>
      </x:c>
      <x:c r="H14" t="n">
        <x:v>40.7</x:v>
      </x:c>
      <x:c r="I14" t="n">
        <x:v>40.7</x:v>
      </x:c>
      <x:c r="J14" t="n">
        <x:v>40.7</x:v>
      </x:c>
      <x:c r="K14" t="n">
        <x:v>40.7</x:v>
      </x:c>
    </x:row>
    <x:row r="15">
      <x:c r="A15" t="str">
        <x:v>Cote d Ivoire</x:v>
      </x:c>
      <x:c r="B15" t="str">
        <x:v>Côte d'Ivoire</x:v>
      </x:c>
      <x:c r="C15" t="n">
        <x:v>15.2</x:v>
      </x:c>
      <x:c r="D15" t="n">
        <x:v>20.6</x:v>
      </x:c>
      <x:c r="E15" t="n">
        <x:v>29.6</x:v>
      </x:c>
      <x:c r="F15" t="n">
        <x:v>32.8</x:v>
      </x:c>
      <x:c r="G15" t="n">
        <x:v>30.2</x:v>
      </x:c>
      <x:c r="H15" t="n">
        <x:v>23.1</x:v>
      </x:c>
      <x:c r="I15" t="n">
        <x:v>23.6</x:v>
      </x:c>
      <x:c r="J15" t="n">
        <x:v>24.2</x:v>
      </x:c>
      <x:c r="K15" t="n">
        <x:v>24.9</x:v>
      </x:c>
    </x:row>
    <x:row r="16">
      <x:c r="A16" t="str">
        <x:v>Djibouti</x:v>
      </x:c>
      <x:c r="B16" t="str">
        <x:v>Djibouti</x:v>
      </x:c>
      <x:c r="C16" t="n">
        <x:v>0.8</x:v>
      </x:c>
      <x:c r="D16" t="n">
        <x:v>1.2</x:v>
      </x:c>
      <x:c r="E16" t="n">
        <x:v>1.3</x:v>
      </x:c>
      <x:c r="F16" t="n">
        <x:v>0.8</x:v>
      </x:c>
      <x:c r="G16" t="n">
        <x:v>0.6</x:v>
      </x:c>
      <x:c r="H16" t="n">
        <x:v>35.9</x:v>
      </x:c>
      <x:c r="I16" t="n">
        <x:v>35.4</x:v>
      </x:c>
      <x:c r="J16" t="n">
        <x:v>46.4</x:v>
      </x:c>
      <x:c r="K16" t="n">
        <x:v>63.8</x:v>
      </x:c>
    </x:row>
    <x:row r="17">
      <x:c r="A17" t="str">
        <x:v>Egypt</x:v>
      </x:c>
      <x:c r="B17" t="str">
        <x:v>Egypt</x:v>
      </x:c>
      <x:c r="C17" t="n">
        <x:v>8.6</x:v>
      </x:c>
      <x:c r="D17" t="n">
        <x:v>8.4</x:v>
      </x:c>
      <x:c r="E17" t="n">
        <x:v>8.1</x:v>
      </x:c>
      <x:c r="F17" t="n">
        <x:v>9</x:v>
      </x:c>
      <x:c r="G17" t="n">
        <x:v>12.2</x:v>
      </x:c>
      <x:c r="H17" t="n">
        <x:v>12.3</x:v>
      </x:c>
      <x:c r="I17" t="n">
        <x:v>12.2</x:v>
      </x:c>
      <x:c r="J17" t="n">
        <x:v>11.9</x:v>
      </x:c>
      <x:c r="K17" t="n">
        <x:v>12.4</x:v>
      </x:c>
    </x:row>
    <x:row r="18">
      <x:c r="A18" t="str">
        <x:v>Eq Guinea</x:v>
      </x:c>
      <x:c r="B18" t="str">
        <x:v>Equatorial Guinea</x:v>
      </x:c>
      <x:c r="C18" t="n">
        <x:v>33.7</x:v>
      </x:c>
      <x:c r="D18" t="n">
        <x:v>32.9</x:v>
      </x:c>
      <x:c r="E18" t="n">
        <x:v>32.7</x:v>
      </x:c>
      <x:c r="F18" t="n">
        <x:v>45.7</x:v>
      </x:c>
      <x:c r="G18" t="n">
        <x:v>45.2</x:v>
      </x:c>
      <x:c r="H18" t="n">
        <x:v>43.7</x:v>
      </x:c>
      <x:c r="I18" t="n">
        <x:v>43.2</x:v>
      </x:c>
      <x:c r="J18" t="n">
        <x:v>34.5</x:v>
      </x:c>
      <x:c r="K18" t="n">
        <x:v>38</x:v>
      </x:c>
    </x:row>
    <x:row r="19">
      <x:c r="A19" t="str">
        <x:v>Eritrea</x:v>
      </x:c>
      <x:c r="B19" t="str">
        <x:v>Eritrea</x:v>
      </x:c>
      <x:c r="C19" t="n">
        <x:v>6.7</x:v>
      </x:c>
      <x:c r="D19" t="n">
        <x:v>12.4</x:v>
      </x:c>
      <x:c r="E19" t="n">
        <x:v>13</x:v>
      </x:c>
      <x:c r="F19" t="n">
        <x:v>12.7</x:v>
      </x:c>
      <x:c r="G19" t="n">
        <x:v>12.4</x:v>
      </x:c>
      <x:c r="H19" t="n">
        <x:v>11.3</x:v>
      </x:c>
      <x:c r="I19" t="n">
        <x:v>10.6</x:v>
      </x:c>
      <x:c r="J19" t="n">
        <x:v>10.1</x:v>
      </x:c>
      <x:c r="K19" t="n">
        <x:v>10.1</x:v>
      </x:c>
    </x:row>
    <x:row r="20">
      <x:c r="A20" t="str">
        <x:v>Eswatini</x:v>
      </x:c>
      <x:c r="B20" t="str">
        <x:v>Eswatini</x:v>
      </x:c>
      <x:c r="C20" t="n">
        <x:v>98.1</x:v>
      </x:c>
      <x:c r="D20" t="n">
        <x:v>97.9</x:v>
      </x:c>
      <x:c r="E20" t="n">
        <x:v>98.3</x:v>
      </x:c>
      <x:c r="F20" t="n">
        <x:v>98.4</x:v>
      </x:c>
      <x:c r="G20" t="n">
        <x:v>98.5</x:v>
      </x:c>
      <x:c r="H20" t="n">
        <x:v>98.6</x:v>
      </x:c>
      <x:c r="I20" t="n">
        <x:v>98.7</x:v>
      </x:c>
      <x:c r="J20" t="n">
        <x:v>99</x:v>
      </x:c>
      <x:c r="K20" t="n">
        <x:v>98.9</x:v>
      </x:c>
    </x:row>
    <x:row r="21">
      <x:c r="A21" t="str">
        <x:v>Ethiopia</x:v>
      </x:c>
      <x:c r="B21" t="str">
        <x:v>Ethiopia</x:v>
      </x:c>
      <x:c r="C21" t="n">
        <x:v>100</x:v>
      </x:c>
      <x:c r="D21" t="n">
        <x:v>100</x:v>
      </x:c>
      <x:c r="E21" t="n">
        <x:v>100</x:v>
      </x:c>
      <x:c r="F21" t="n">
        <x:v>100</x:v>
      </x:c>
      <x:c r="G21" t="n">
        <x:v>100</x:v>
      </x:c>
      <x:c r="H21" t="n">
        <x:v>100</x:v>
      </x:c>
      <x:c r="I21" t="n">
        <x:v>100</x:v>
      </x:c>
      <x:c r="J21" t="n">
        <x:v>100</x:v>
      </x:c>
      <x:c r="K21" t="n">
        <x:v>100</x:v>
      </x:c>
    </x:row>
    <x:row r="22">
      <x:c r="A22" t="str">
        <x:v>Gabon</x:v>
      </x:c>
      <x:c r="B22" t="str">
        <x:v>Gabon</x:v>
      </x:c>
      <x:c r="C22" t="n">
        <x:v>41.6</x:v>
      </x:c>
      <x:c r="D22" t="n">
        <x:v>48.9</x:v>
      </x:c>
      <x:c r="E22" t="n">
        <x:v>53.9</x:v>
      </x:c>
      <x:c r="F22" t="n">
        <x:v>41.1</x:v>
      </x:c>
      <x:c r="G22" t="n">
        <x:v>38.1</x:v>
      </x:c>
      <x:c r="H22" t="n">
        <x:v>38.1</x:v>
      </x:c>
      <x:c r="I22" t="n">
        <x:v>38.1</x:v>
      </x:c>
      <x:c r="J22" t="n">
        <x:v>38.1</x:v>
      </x:c>
      <x:c r="K22" t="n">
        <x:v>38.1</x:v>
      </x:c>
    </x:row>
    <x:row r="23">
      <x:c r="A23" t="str">
        <x:v>Gambia</x:v>
      </x:c>
      <x:c r="B23" t="str">
        <x:v>Gambia</x:v>
      </x:c>
      <x:c r="C23" t="n">
        <x:v>1.2</x:v>
      </x:c>
      <x:c r="D23" t="n">
        <x:v>1.7</x:v>
      </x:c>
      <x:c r="E23" t="n">
        <x:v>1.4</x:v>
      </x:c>
      <x:c r="F23" t="n">
        <x:v>1.5</x:v>
      </x:c>
      <x:c r="G23" t="n">
        <x:v>1.4</x:v>
      </x:c>
      <x:c r="H23" t="n">
        <x:v>1.3</x:v>
      </x:c>
      <x:c r="I23" t="n">
        <x:v>1.1</x:v>
      </x:c>
      <x:c r="J23" t="n">
        <x:v>1</x:v>
      </x:c>
      <x:c r="K23" t="n">
        <x:v>0.9</x:v>
      </x:c>
    </x:row>
    <x:row r="24">
      <x:c r="A24" t="str">
        <x:v>Ghana</x:v>
      </x:c>
      <x:c r="B24" t="str">
        <x:v>Ghana</x:v>
      </x:c>
      <x:c r="C24" t="n">
        <x:v>43.1</x:v>
      </x:c>
      <x:c r="D24" t="n">
        <x:v>40.3</x:v>
      </x:c>
      <x:c r="E24" t="n">
        <x:v>37.5</x:v>
      </x:c>
      <x:c r="F24" t="n">
        <x:v>40.4</x:v>
      </x:c>
      <x:c r="G24" t="n">
        <x:v>36.7</x:v>
      </x:c>
      <x:c r="H24" t="n">
        <x:v>34.9</x:v>
      </x:c>
      <x:c r="I24" t="n">
        <x:v>36.3</x:v>
      </x:c>
      <x:c r="J24" t="n">
        <x:v>36.1</x:v>
      </x:c>
      <x:c r="K24" t="n">
        <x:v>39.7</x:v>
      </x:c>
    </x:row>
    <x:row r="25">
      <x:c r="A25" t="str">
        <x:v>Guinea</x:v>
      </x:c>
      <x:c r="B25" t="str">
        <x:v>Guinea</x:v>
      </x:c>
      <x:c r="C25" t="n">
        <x:v>67.9</x:v>
      </x:c>
      <x:c r="D25" t="n">
        <x:v>69.3</x:v>
      </x:c>
      <x:c r="E25" t="n">
        <x:v>63.3</x:v>
      </x:c>
      <x:c r="F25" t="n">
        <x:v>63.9</x:v>
      </x:c>
      <x:c r="G25" t="n">
        <x:v>61.9</x:v>
      </x:c>
      <x:c r="H25" t="n">
        <x:v>88.1</x:v>
      </x:c>
      <x:c r="I25" t="n">
        <x:v>90.6</x:v>
      </x:c>
      <x:c r="J25" t="n">
        <x:v>89.8</x:v>
      </x:c>
      <x:c r="K25" t="n">
        <x:v>97.9</x:v>
      </x:c>
    </x:row>
    <x:row r="26">
      <x:c r="A26" t="str">
        <x:v>Guinea Bissau</x:v>
      </x:c>
      <x:c r="B26" t="str">
        <x:v>Guinea-Bissau</x:v>
      </x:c>
      <x:c r="C26" t="n">
        <x:v>4.4</x:v>
      </x:c>
      <x:c r="D26" t="n">
        <x:v>5.8</x:v>
      </x:c>
      <x:c r="E26" t="n">
        <x:v>10.6</x:v>
      </x:c>
      <x:c r="F26" t="n">
        <x:v>10.6</x:v>
      </x:c>
      <x:c r="G26" t="n">
        <x:v>10.3</x:v>
      </x:c>
      <x:c r="H26" t="n">
        <x:v>11.8</x:v>
      </x:c>
      <x:c r="I26" t="n">
        <x:v>10.5</x:v>
      </x:c>
      <x:c r="J26" t="n">
        <x:v>11.5</x:v>
      </x:c>
      <x:c r="K26" t="n">
        <x:v>12.3</x:v>
      </x:c>
    </x:row>
    <x:row r="27">
      <x:c r="A27" t="str">
        <x:v>Kenya</x:v>
      </x:c>
      <x:c r="B27" t="str">
        <x:v>Kenya</x:v>
      </x:c>
      <x:c r="C27" t="n">
        <x:v>82.5</x:v>
      </x:c>
      <x:c r="D27" t="n">
        <x:v>79.3</x:v>
      </x:c>
      <x:c r="E27" t="n">
        <x:v>83.6</x:v>
      </x:c>
      <x:c r="F27" t="n">
        <x:v>89.6</x:v>
      </x:c>
      <x:c r="G27" t="n">
        <x:v>91.4</x:v>
      </x:c>
      <x:c r="H27" t="n">
        <x:v>88.1</x:v>
      </x:c>
      <x:c r="I27" t="n">
        <x:v>86.2</x:v>
      </x:c>
      <x:c r="J27" t="n">
        <x:v>89</x:v>
      </x:c>
      <x:c r="K27" t="n">
        <x:v>89.6</x:v>
      </x:c>
    </x:row>
    <x:row r="28">
      <x:c r="A28" t="str">
        <x:v>Lesotho</x:v>
      </x:c>
      <x:c r="B28" t="str">
        <x:v>Lesotho</x:v>
      </x:c>
      <x:c r="C28" t="n">
        <x:v>99.9</x:v>
      </x:c>
      <x:c r="D28" t="n">
        <x:v>99.9</x:v>
      </x:c>
      <x:c r="E28" t="n">
        <x:v>99.9</x:v>
      </x:c>
      <x:c r="F28" t="n">
        <x:v>99.9</x:v>
      </x:c>
      <x:c r="G28" t="n">
        <x:v>99.9</x:v>
      </x:c>
      <x:c r="H28" t="n">
        <x:v>99.5</x:v>
      </x:c>
      <x:c r="I28" t="n">
        <x:v>99.8</x:v>
      </x:c>
      <x:c r="J28" t="n">
        <x:v>99.8</x:v>
      </x:c>
      <x:c r="K28" t="n">
        <x:v>99.8</x:v>
      </x:c>
    </x:row>
    <x:row r="29">
      <x:c r="A29" t="str">
        <x:v>Liberia</x:v>
      </x:c>
      <x:c r="B29" t="str">
        <x:v>Liberia</x:v>
      </x:c>
      <x:c r="C29" t="n">
        <x:v>9.4</x:v>
      </x:c>
      <x:c r="D29" t="n">
        <x:v>34.1</x:v>
      </x:c>
      <x:c r="E29" t="n">
        <x:v>42.4</x:v>
      </x:c>
      <x:c r="F29" t="n">
        <x:v>40.8</x:v>
      </x:c>
      <x:c r="G29" t="n">
        <x:v>44</x:v>
      </x:c>
      <x:c r="H29" t="n">
        <x:v>77.2</x:v>
      </x:c>
      <x:c r="I29" t="n">
        <x:v>63.4</x:v>
      </x:c>
      <x:c r="J29" t="n">
        <x:v>73</x:v>
      </x:c>
      <x:c r="K29" t="n">
        <x:v>73.7</x:v>
      </x:c>
    </x:row>
    <x:row r="30">
      <x:c r="A30" t="str">
        <x:v>Libya</x:v>
      </x:c>
      <x:c r="B30" t="str">
        <x:v>Libya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</x:row>
    <x:row r="31">
      <x:c r="A31" t="str">
        <x:v>Madagascar</x:v>
      </x:c>
      <x:c r="B31" t="str">
        <x:v>Madagascar</x:v>
      </x:c>
      <x:c r="C31" t="n">
        <x:v>54.6</x:v>
      </x:c>
      <x:c r="D31" t="n">
        <x:v>47.2</x:v>
      </x:c>
      <x:c r="E31" t="n">
        <x:v>55.6</x:v>
      </x:c>
      <x:c r="F31" t="n">
        <x:v>49.6</x:v>
      </x:c>
      <x:c r="G31" t="n">
        <x:v>46.7</x:v>
      </x:c>
      <x:c r="H31" t="n">
        <x:v>42.4</x:v>
      </x:c>
      <x:c r="I31" t="n">
        <x:v>45.9</x:v>
      </x:c>
      <x:c r="J31" t="n">
        <x:v>53.5</x:v>
      </x:c>
      <x:c r="K31" t="n">
        <x:v>51.2</x:v>
      </x:c>
    </x:row>
    <x:row r="32">
      <x:c r="A32" t="str">
        <x:v>Malawi</x:v>
      </x:c>
      <x:c r="B32" t="str">
        <x:v>Malawi</x:v>
      </x:c>
      <x:c r="C32" t="n">
        <x:v>96.8</x:v>
      </x:c>
      <x:c r="D32" t="n">
        <x:v>84.3</x:v>
      </x:c>
      <x:c r="E32" t="n">
        <x:v>79.8</x:v>
      </x:c>
      <x:c r="F32" t="n">
        <x:v>78.1</x:v>
      </x:c>
      <x:c r="G32" t="n">
        <x:v>78.1</x:v>
      </x:c>
      <x:c r="H32" t="n">
        <x:v>79</x:v>
      </x:c>
      <x:c r="I32" t="n">
        <x:v>79</x:v>
      </x:c>
      <x:c r="J32" t="n">
        <x:v>78.9</x:v>
      </x:c>
      <x:c r="K32" t="n">
        <x:v>79</x:v>
      </x:c>
    </x:row>
    <x:row r="33">
      <x:c r="A33" t="str">
        <x:v>Mali</x:v>
      </x:c>
      <x:c r="B33" t="str">
        <x:v>Mali</x:v>
      </x:c>
      <x:c r="C33" t="n">
        <x:v>67.1</x:v>
      </x:c>
      <x:c r="D33" t="n">
        <x:v>65.2</x:v>
      </x:c>
      <x:c r="E33" t="n">
        <x:v>78.3</x:v>
      </x:c>
      <x:c r="F33" t="n">
        <x:v>68</x:v>
      </x:c>
      <x:c r="G33" t="n">
        <x:v>42.9</x:v>
      </x:c>
      <x:c r="H33" t="n">
        <x:v>33</x:v>
      </x:c>
      <x:c r="I33" t="n">
        <x:v>39.4</x:v>
      </x:c>
      <x:c r="J33" t="n">
        <x:v>40.1</x:v>
      </x:c>
      <x:c r="K33" t="n">
        <x:v>58.7</x:v>
      </x:c>
    </x:row>
    <x:row r="34">
      <x:c r="A34" t="str">
        <x:v>Mauritania</x:v>
      </x:c>
      <x:c r="B34" t="str">
        <x:v>Mauritania</x:v>
      </x:c>
      <x:c r="C34" t="n">
        <x:v>17.8</x:v>
      </x:c>
      <x:c r="D34" t="n">
        <x:v>15.7</x:v>
      </x:c>
      <x:c r="E34" t="n">
        <x:v>21.1</x:v>
      </x:c>
      <x:c r="F34" t="n">
        <x:v>18.5</x:v>
      </x:c>
      <x:c r="G34" t="n">
        <x:v>18.7</x:v>
      </x:c>
      <x:c r="H34" t="n">
        <x:v>17.7</x:v>
      </x:c>
      <x:c r="I34" t="n">
        <x:v>15.8</x:v>
      </x:c>
      <x:c r="J34" t="n">
        <x:v>23</x:v>
      </x:c>
      <x:c r="K34" t="n">
        <x:v>28.3</x:v>
      </x:c>
    </x:row>
    <x:row r="35">
      <x:c r="A35" t="str">
        <x:v>Mauritius</x:v>
      </x:c>
      <x:c r="B35" t="str">
        <x:v>Mauritius</x:v>
      </x:c>
      <x:c r="C35" t="n">
        <x:v>21.8</x:v>
      </x:c>
      <x:c r="D35" t="n">
        <x:v>20</x:v>
      </x:c>
      <x:c r="E35" t="n">
        <x:v>20.7</x:v>
      </x:c>
      <x:c r="F35" t="n">
        <x:v>21.7</x:v>
      </x:c>
      <x:c r="G35" t="n">
        <x:v>23.9</x:v>
      </x:c>
      <x:c r="H35" t="n">
        <x:v>21.5</x:v>
      </x:c>
      <x:c r="I35" t="n">
        <x:v>19.2</x:v>
      </x:c>
      <x:c r="J35" t="n">
        <x:v>17.6</x:v>
      </x:c>
      <x:c r="K35" t="n">
        <x:v>18.2</x:v>
      </x:c>
    </x:row>
    <x:row r="36">
      <x:c r="A36" t="str">
        <x:v>Morocco</x:v>
      </x:c>
      <x:c r="B36" t="str">
        <x:v>Morocco</x:v>
      </x:c>
      <x:c r="C36" t="n">
        <x:v>15.3</x:v>
      </x:c>
      <x:c r="D36" t="n">
        <x:v>14.8</x:v>
      </x:c>
      <x:c r="E36" t="n">
        <x:v>19</x:v>
      </x:c>
      <x:c r="F36" t="n">
        <x:v>18.9</x:v>
      </x:c>
      <x:c r="G36" t="n">
        <x:v>18.2</x:v>
      </x:c>
      <x:c r="H36" t="n">
        <x:v>18.9</x:v>
      </x:c>
      <x:c r="I36" t="n">
        <x:v>17.4</x:v>
      </x:c>
      <x:c r="J36" t="n">
        <x:v>18.5</x:v>
      </x:c>
      <x:c r="K36" t="n">
        <x:v>24.5</x:v>
      </x:c>
    </x:row>
    <x:row r="37">
      <x:c r="A37" t="str">
        <x:v>Mozambique</x:v>
      </x:c>
      <x:c r="B37" t="str">
        <x:v>Mozambique</x:v>
      </x:c>
      <x:c r="C37" t="n">
        <x:v>95.8</x:v>
      </x:c>
      <x:c r="D37" t="n">
        <x:v>81</x:v>
      </x:c>
      <x:c r="E37" t="n">
        <x:v>82.3</x:v>
      </x:c>
      <x:c r="F37" t="n">
        <x:v>81.9</x:v>
      </x:c>
      <x:c r="G37" t="n">
        <x:v>83.7</x:v>
      </x:c>
      <x:c r="H37" t="n">
        <x:v>83.1</x:v>
      </x:c>
      <x:c r="I37" t="n">
        <x:v>84.1</x:v>
      </x:c>
      <x:c r="J37" t="n">
        <x:v>83.8</x:v>
      </x:c>
      <x:c r="K37" t="n">
        <x:v>84.4</x:v>
      </x:c>
    </x:row>
    <x:row r="38">
      <x:c r="A38" t="str">
        <x:v>Namibia</x:v>
      </x:c>
      <x:c r="B38" t="str">
        <x:v>Namibia</x:v>
      </x:c>
      <x:c r="C38" t="n">
        <x:v>89.8</x:v>
      </x:c>
      <x:c r="D38" t="n">
        <x:v>91.2</x:v>
      </x:c>
      <x:c r="E38" t="n">
        <x:v>90.5</x:v>
      </x:c>
      <x:c r="F38" t="n">
        <x:v>90.5</x:v>
      </x:c>
      <x:c r="G38" t="n">
        <x:v>86.8</x:v>
      </x:c>
      <x:c r="H38" t="n">
        <x:v>85.2</x:v>
      </x:c>
      <x:c r="I38" t="n">
        <x:v>87.5</x:v>
      </x:c>
      <x:c r="J38" t="n">
        <x:v>90.4</x:v>
      </x:c>
      <x:c r="K38" t="n">
        <x:v>91.3</x:v>
      </x:c>
    </x:row>
    <x:row r="39">
      <x:c r="A39" t="str">
        <x:v>Niger</x:v>
      </x:c>
      <x:c r="B39" t="str">
        <x:v>Niger</x:v>
      </x:c>
      <x:c r="C39" t="n">
        <x:v>2.3</x:v>
      </x:c>
      <x:c r="D39" t="n">
        <x:v>2.4</x:v>
      </x:c>
      <x:c r="E39" t="n">
        <x:v>3.3</x:v>
      </x:c>
      <x:c r="F39" t="n">
        <x:v>5.1</x:v>
      </x:c>
      <x:c r="G39" t="n">
        <x:v>4.9</x:v>
      </x:c>
      <x:c r="H39" t="n">
        <x:v>6.2</x:v>
      </x:c>
      <x:c r="I39" t="n">
        <x:v>10.5</x:v>
      </x:c>
      <x:c r="J39" t="n">
        <x:v>12.1</x:v>
      </x:c>
      <x:c r="K39" t="n">
        <x:v>6.6</x:v>
      </x:c>
    </x:row>
    <x:row r="40">
      <x:c r="A40" t="str">
        <x:v>Nigeria</x:v>
      </x:c>
      <x:c r="B40" t="str">
        <x:v>Nigeria</x:v>
      </x:c>
      <x:c r="C40" t="n">
        <x:v>28.6</x:v>
      </x:c>
      <x:c r="D40" t="n">
        <x:v>24.6</x:v>
      </x:c>
      <x:c r="E40" t="n">
        <x:v>23</x:v>
      </x:c>
      <x:c r="F40" t="n">
        <x:v>25.4</x:v>
      </x:c>
      <x:c r="G40" t="n">
        <x:v>22.7</x:v>
      </x:c>
      <x:c r="H40" t="n">
        <x:v>25.4</x:v>
      </x:c>
      <x:c r="I40" t="n">
        <x:v>27.2</x:v>
      </x:c>
      <x:c r="J40" t="n">
        <x:v>26</x:v>
      </x:c>
      <x:c r="K40" t="n">
        <x:v>33.2</x:v>
      </x:c>
    </x:row>
    <x:row r="41">
      <x:c r="A41" t="str">
        <x:v>Rwanda</x:v>
      </x:c>
      <x:c r="B41" t="str">
        <x:v>Rwanda</x:v>
      </x:c>
      <x:c r="C41" t="n">
        <x:v>48.5</x:v>
      </x:c>
      <x:c r="D41" t="n">
        <x:v>47.3</x:v>
      </x:c>
      <x:c r="E41" t="n">
        <x:v>47.2</x:v>
      </x:c>
      <x:c r="F41" t="n">
        <x:v>51</x:v>
      </x:c>
      <x:c r="G41" t="n">
        <x:v>59.9</x:v>
      </x:c>
      <x:c r="H41" t="n">
        <x:v>57.6</x:v>
      </x:c>
      <x:c r="I41" t="n">
        <x:v>52.1</x:v>
      </x:c>
      <x:c r="J41" t="n">
        <x:v>52</x:v>
      </x:c>
      <x:c r="K41" t="n">
        <x:v>45.4</x:v>
      </x:c>
    </x:row>
    <x:row r="42">
      <x:c r="A42" t="str">
        <x:v>Sao Tome Prn</x:v>
      </x:c>
      <x:c r="B42" t="str">
        <x:v>Sao Tome and Principe</x:v>
      </x:c>
      <x:c r="C42" t="n">
        <x:v>5.6</x:v>
      </x:c>
      <x:c r="D42" t="n">
        <x:v>4.9</x:v>
      </x:c>
      <x:c r="E42" t="n">
        <x:v>5.6</x:v>
      </x:c>
      <x:c r="F42" t="n">
        <x:v>5.7</x:v>
      </x:c>
      <x:c r="G42" t="n">
        <x:v>5.8</x:v>
      </x:c>
      <x:c r="H42" t="n">
        <x:v>6.1</x:v>
      </x:c>
      <x:c r="I42" t="n">
        <x:v>5.9</x:v>
      </x:c>
      <x:c r="J42" t="n">
        <x:v>6.4</x:v>
      </x:c>
      <x:c r="K42" t="n">
        <x:v>6.4</x:v>
      </x:c>
    </x:row>
    <x:row r="43">
      <x:c r="A43" t="str">
        <x:v>Senegal</x:v>
      </x:c>
      <x:c r="B43" t="str">
        <x:v>Senegal</x:v>
      </x:c>
      <x:c r="C43" t="n">
        <x:v>2</x:v>
      </x:c>
      <x:c r="D43" t="n">
        <x:v>4.5</x:v>
      </x:c>
      <x:c r="E43" t="n">
        <x:v>8.1</x:v>
      </x:c>
      <x:c r="F43" t="n">
        <x:v>8.9</x:v>
      </x:c>
      <x:c r="G43" t="n">
        <x:v>12.5</x:v>
      </x:c>
      <x:c r="H43" t="n">
        <x:v>20.7</x:v>
      </x:c>
      <x:c r="I43" t="n">
        <x:v>16.5</x:v>
      </x:c>
      <x:c r="J43" t="n">
        <x:v>14.8</x:v>
      </x:c>
      <x:c r="K43" t="n">
        <x:v>11.5</x:v>
      </x:c>
    </x:row>
    <x:row r="44">
      <x:c r="A44" t="str">
        <x:v>Seychelles</x:v>
      </x:c>
      <x:c r="B44" t="str">
        <x:v>Seychelles</x:v>
      </x:c>
      <x:c r="C44" t="n">
        <x:v>2.3</x:v>
      </x:c>
      <x:c r="D44" t="n">
        <x:v>2.3</x:v>
      </x:c>
      <x:c r="E44" t="n">
        <x:v>2.7</x:v>
      </x:c>
      <x:c r="F44" t="n">
        <x:v>2.1</x:v>
      </x:c>
      <x:c r="G44" t="n">
        <x:v>2.8</x:v>
      </x:c>
      <x:c r="H44" t="n">
        <x:v>5.2</x:v>
      </x:c>
      <x:c r="I44" t="n">
        <x:v>5.5</x:v>
      </x:c>
      <x:c r="J44" t="n">
        <x:v>5.2</x:v>
      </x:c>
      <x:c r="K44" t="n">
        <x:v>5.6</x:v>
      </x:c>
    </x:row>
    <x:row r="45">
      <x:c r="A45" t="str">
        <x:v>Sierra Leone</x:v>
      </x:c>
      <x:c r="B45" t="str">
        <x:v>Sierra Leone</x:v>
      </x:c>
      <x:c r="C45" t="n">
        <x:v>74.3</x:v>
      </x:c>
      <x:c r="D45" t="n">
        <x:v>73.8</x:v>
      </x:c>
      <x:c r="E45" t="n">
        <x:v>73.4</x:v>
      </x:c>
      <x:c r="F45" t="n">
        <x:v>64.9</x:v>
      </x:c>
      <x:c r="G45" t="n">
        <x:v>58.1</x:v>
      </x:c>
      <x:c r="H45" t="n">
        <x:v>53.6</x:v>
      </x:c>
      <x:c r="I45" t="n">
        <x:v>49.7</x:v>
      </x:c>
      <x:c r="J45" t="n">
        <x:v>51.8</x:v>
      </x:c>
      <x:c r="K45" t="n">
        <x:v>51.1</x:v>
      </x:c>
    </x:row>
    <x:row r="46">
      <x:c r="A46" t="str">
        <x:v>Somalia</x:v>
      </x:c>
      <x:c r="B46" t="str">
        <x:v>Somalia</x:v>
      </x:c>
      <x:c r="C46" t="n">
        <x:v>1.5</x:v>
      </x:c>
      <x:c r="D46" t="n">
        <x:v>1.8</x:v>
      </x:c>
      <x:c r="E46" t="n">
        <x:v>1.9</x:v>
      </x:c>
      <x:c r="F46" t="n">
        <x:v>1.9</x:v>
      </x:c>
      <x:c r="G46" t="n">
        <x:v>4.5</x:v>
      </x:c>
      <x:c r="H46" t="n">
        <x:v>6.7</x:v>
      </x:c>
      <x:c r="I46" t="n">
        <x:v>12.8</x:v>
      </x:c>
      <x:c r="J46" t="n">
        <x:v>13</x:v>
      </x:c>
      <x:c r="K46" t="n">
        <x:v>13.6</x:v>
      </x:c>
    </x:row>
    <x:row r="47">
      <x:c r="A47" t="str">
        <x:v>South Africa</x:v>
      </x:c>
      <x:c r="B47" t="str">
        <x:v>South Africa</x:v>
      </x:c>
      <x:c r="C47" t="n">
        <x:v>2.1</x:v>
      </x:c>
      <x:c r="D47" t="n">
        <x:v>2.3</x:v>
      </x:c>
      <x:c r="E47" t="n">
        <x:v>2.8</x:v>
      </x:c>
      <x:c r="F47" t="n">
        <x:v>3.1</x:v>
      </x:c>
      <x:c r="G47" t="n">
        <x:v>4.2</x:v>
      </x:c>
      <x:c r="H47" t="n">
        <x:v>4.8</x:v>
      </x:c>
      <x:c r="I47" t="n">
        <x:v>6.2</x:v>
      </x:c>
      <x:c r="J47" t="n">
        <x:v>8.2</x:v>
      </x:c>
      <x:c r="K47" t="n">
        <x:v>23</x:v>
      </x:c>
    </x:row>
    <x:row r="48">
      <x:c r="A48" t="str">
        <x:v>South Sudan</x:v>
      </x:c>
      <x:c r="B48" t="str">
        <x:v>South Sudan</x:v>
      </x:c>
      <x:c r="C48" t="n">
        <x:v>0.4</x:v>
      </x:c>
      <x:c r="D48" t="n">
        <x:v>0.5</x:v>
      </x:c>
      <x:c r="E48" t="n">
        <x:v>0.6</x:v>
      </x:c>
      <x:c r="F48" t="n">
        <x:v>0.7</x:v>
      </x:c>
      <x:c r="G48" t="n">
        <x:v>2.7</x:v>
      </x:c>
      <x:c r="H48" t="n">
        <x:v>3.7</x:v>
      </x:c>
      <x:c r="I48" t="n">
        <x:v>6.7</x:v>
      </x:c>
      <x:c r="J48" t="n">
        <x:v>5.8</x:v>
      </x:c>
      <x:c r="K48" t="n">
        <x:v>5.8</x:v>
      </x:c>
    </x:row>
    <x:row r="49">
      <x:c r="A49" t="str">
        <x:v>Sudan</x:v>
      </x:c>
      <x:c r="B49" t="str">
        <x:v>Sudan</x:v>
      </x:c>
      <x:c r="C49" t="n">
        <x:v>56.2</x:v>
      </x:c>
      <x:c r="D49" t="n">
        <x:v>61.7</x:v>
      </x:c>
      <x:c r="E49" t="n">
        <x:v>60.9</x:v>
      </x:c>
      <x:c r="F49" t="n">
        <x:v>61.4</x:v>
      </x:c>
      <x:c r="G49" t="n">
        <x:v>67.3</x:v>
      </x:c>
      <x:c r="H49" t="n">
        <x:v>60.7</x:v>
      </x:c>
      <x:c r="I49" t="n">
        <x:v>61</x:v>
      </x:c>
      <x:c r="J49" t="n">
        <x:v>61</x:v>
      </x:c>
      <x:c r="K49" t="n">
        <x:v>61</x:v>
      </x:c>
    </x:row>
    <x:row r="50">
      <x:c r="A50" t="str">
        <x:v>Tanzania</x:v>
      </x:c>
      <x:c r="B50" t="str">
        <x:v>United Republic of Tanzania</x:v>
      </x:c>
      <x:c r="C50" t="n">
        <x:v>36.2</x:v>
      </x:c>
      <x:c r="D50" t="n">
        <x:v>36</x:v>
      </x:c>
      <x:c r="E50" t="n">
        <x:v>33.3</x:v>
      </x:c>
      <x:c r="F50" t="n">
        <x:v>34.6</x:v>
      </x:c>
      <x:c r="G50" t="n">
        <x:v>42.7</x:v>
      </x:c>
      <x:c r="H50" t="n">
        <x:v>38.5</x:v>
      </x:c>
      <x:c r="I50" t="n">
        <x:v>29.4</x:v>
      </x:c>
      <x:c r="J50" t="n">
        <x:v>27.9</x:v>
      </x:c>
      <x:c r="K50" t="n">
        <x:v>30.2</x:v>
      </x:c>
    </x:row>
    <x:row r="51">
      <x:c r="A51" t="str">
        <x:v>Togo</x:v>
      </x:c>
      <x:c r="B51" t="str">
        <x:v>Togo</x:v>
      </x:c>
      <x:c r="C51" t="n">
        <x:v>23.6</x:v>
      </x:c>
      <x:c r="D51" t="n">
        <x:v>32.2</x:v>
      </x:c>
      <x:c r="E51" t="n">
        <x:v>22.6</x:v>
      </x:c>
      <x:c r="F51" t="n">
        <x:v>23.7</x:v>
      </x:c>
      <x:c r="G51" t="n">
        <x:v>15.1</x:v>
      </x:c>
      <x:c r="H51" t="n">
        <x:v>20.8</x:v>
      </x:c>
      <x:c r="I51" t="n">
        <x:v>14.6</x:v>
      </x:c>
      <x:c r="J51" t="n">
        <x:v>21.8</x:v>
      </x:c>
      <x:c r="K51" t="n">
        <x:v>26.4</x:v>
      </x:c>
    </x:row>
    <x:row r="52">
      <x:c r="A52" t="str">
        <x:v>Tunisia</x:v>
      </x:c>
      <x:c r="B52" t="str">
        <x:v>Tunisia</x:v>
      </x:c>
      <x:c r="C52" t="n">
        <x:v>3</x:v>
      </x:c>
      <x:c r="D52" t="n">
        <x:v>2.9</x:v>
      </x:c>
      <x:c r="E52" t="n">
        <x:v>3.1</x:v>
      </x:c>
      <x:c r="F52" t="n">
        <x:v>3.7</x:v>
      </x:c>
      <x:c r="G52" t="n">
        <x:v>3.2</x:v>
      </x:c>
      <x:c r="H52" t="n">
        <x:v>3.2</x:v>
      </x:c>
      <x:c r="I52" t="n">
        <x:v>3.2</x:v>
      </x:c>
      <x:c r="J52" t="n">
        <x:v>3.8</x:v>
      </x:c>
      <x:c r="K52" t="n">
        <x:v>4.6</x:v>
      </x:c>
    </x:row>
    <x:row r="53">
      <x:c r="A53" t="str">
        <x:v>Uganda</x:v>
      </x:c>
      <x:c r="B53" t="str">
        <x:v>Uganda</x:v>
      </x:c>
      <x:c r="C53" t="n">
        <x:v>98.2</x:v>
      </x:c>
      <x:c r="D53" t="n">
        <x:v>93.8</x:v>
      </x:c>
      <x:c r="E53" t="n">
        <x:v>94.4</x:v>
      </x:c>
      <x:c r="F53" t="n">
        <x:v>97.7</x:v>
      </x:c>
      <x:c r="G53" t="n">
        <x:v>98.7</x:v>
      </x:c>
      <x:c r="H53" t="n">
        <x:v>97.9</x:v>
      </x:c>
      <x:c r="I53" t="n">
        <x:v>99.7</x:v>
      </x:c>
      <x:c r="J53" t="n">
        <x:v>98.5</x:v>
      </x:c>
      <x:c r="K53" t="n">
        <x:v>98.5</x:v>
      </x:c>
    </x:row>
    <x:row r="54">
      <x:c r="A54" t="str">
        <x:v>Zambia</x:v>
      </x:c>
      <x:c r="B54" t="str">
        <x:v>Zambia</x:v>
      </x:c>
      <x:c r="C54" t="n">
        <x:v>94.3</x:v>
      </x:c>
      <x:c r="D54" t="n">
        <x:v>86.4</x:v>
      </x:c>
      <x:c r="E54" t="n">
        <x:v>84.7</x:v>
      </x:c>
      <x:c r="F54" t="n">
        <x:v>82.9</x:v>
      </x:c>
      <x:c r="G54" t="n">
        <x:v>85.5</x:v>
      </x:c>
      <x:c r="H54" t="n">
        <x:v>92</x:v>
      </x:c>
      <x:c r="I54" t="n">
        <x:v>88.9</x:v>
      </x:c>
      <x:c r="J54" t="n">
        <x:v>89.1</x:v>
      </x:c>
      <x:c r="K54" t="n">
        <x:v>81.7</x:v>
      </x:c>
    </x:row>
    <x:row r="55">
      <x:c r="A55" t="str">
        <x:v>Zimbabwe</x:v>
      </x:c>
      <x:c r="B55" t="str">
        <x:v>Zimbabwe</x:v>
      </x:c>
      <x:c r="C55" t="n">
        <x:v>62.6</x:v>
      </x:c>
      <x:c r="D55" t="n">
        <x:v>67.7</x:v>
      </x:c>
      <x:c r="E55" t="n">
        <x:v>72.1</x:v>
      </x:c>
      <x:c r="F55" t="n">
        <x:v>72</x:v>
      </x:c>
      <x:c r="G55" t="n">
        <x:v>72.4</x:v>
      </x:c>
      <x:c r="H55" t="n">
        <x:v>77.5</x:v>
      </x:c>
      <x:c r="I55" t="n">
        <x:v>75.5</x:v>
      </x:c>
      <x:c r="J55" t="n">
        <x:v>65</x:v>
      </x:c>
      <x:c r="K55" t="n">
        <x:v>56.7</x:v>
      </x:c>
    </x:row>
    <x:row r="57">
      <x:c r="A57" s="30" t="str">
        <x:v>Source</x:v>
      </x:c>
      <x:c r="B57" s="12" t="str">
        <x:v>IRENA (2026), Renewable energy statistics 2026; physical PDF page 116; unit: %.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4.75" hidden="0" customWidth="1"/>
    <x:col min="4" max="4" width="4.75" hidden="0" customWidth="1"/>
    <x:col min="5" max="5" width="4.75" hidden="0" customWidth="1"/>
    <x:col min="6" max="6" width="4.75" hidden="0" customWidth="1"/>
    <x:col min="7" max="7" width="4.75" hidden="0" customWidth="1"/>
    <x:col min="8" max="8" width="4.75" hidden="0" customWidth="1"/>
    <x:col min="9" max="9" width="4.75" hidden="0" customWidth="1"/>
    <x:col min="10" max="10" width="4.75" hidden="0" customWidth="1"/>
    <x:col min="11" max="11" width="4.75" hidden="0" customWidth="1"/>
    <x:col min="12" max="12" width="4.75" hidden="0" customWidth="1"/>
  </x:cols>
  <x:sheetData>
    <x:row r="1">
      <x:c r="A1" s="16" t="str">
        <x:v>IRENA Label</x:v>
      </x:c>
      <x:c r="B1" s="16" t="str">
        <x:v>Country</x:v>
      </x:c>
      <x:c r="C1" s="16" t="str">
        <x:v>2015</x:v>
      </x:c>
      <x:c r="D1" s="16" t="str">
        <x:v>2016</x:v>
      </x:c>
      <x:c r="E1" s="16" t="str">
        <x:v>2017</x:v>
      </x:c>
      <x:c r="F1" s="16" t="str">
        <x:v>2018</x:v>
      </x:c>
      <x:c r="G1" s="16" t="str">
        <x:v>2019</x:v>
      </x:c>
      <x:c r="H1" s="16" t="str">
        <x:v>2020</x:v>
      </x:c>
      <x:c r="I1" s="16" t="str">
        <x:v>2021</x:v>
      </x:c>
      <x:c r="J1" s="16" t="str">
        <x:v>2022</x:v>
      </x:c>
      <x:c r="K1" s="16" t="str">
        <x:v>2023</x:v>
      </x:c>
      <x:c r="L1" s="16" t="str">
        <x:v>2024</x:v>
      </x:c>
    </x:row>
    <x:row r="2">
      <x:c r="A2" t="str">
        <x:v>Algeria</x:v>
      </x:c>
      <x:c r="B2" t="str">
        <x:v>Algeria</x:v>
      </x:c>
      <x:c r="C2" t="n">
        <x:v>7.5</x:v>
      </x:c>
      <x:c r="D2" t="n">
        <x:v>12.2</x:v>
      </x:c>
      <x:c r="E2" t="n">
        <x:v>14.2</x:v>
      </x:c>
      <x:c r="F2" t="n">
        <x:v>14.2</x:v>
      </x:c>
      <x:c r="G2" t="n">
        <x:v>14</x:v>
      </x:c>
      <x:c r="H2" t="n">
        <x:v>13.3</x:v>
      </x:c>
      <x:c r="I2" t="n">
        <x:v>11.3</x:v>
      </x:c>
      <x:c r="J2" t="n">
        <x:v>13</x:v>
      </x:c>
      <x:c r="K2" t="n">
        <x:v>13</x:v>
      </x:c>
      <x:c r="L2" t="n">
        <x:v>12.8</x:v>
      </x:c>
    </x:row>
    <x:row r="3">
      <x:c r="A3" t="str">
        <x:v>Angola</x:v>
      </x:c>
      <x:c r="B3" t="str">
        <x:v>Angola</x:v>
      </x:c>
      <x:c r="C3" t="n">
        <x:v>36.2</x:v>
      </x:c>
      <x:c r="D3" t="n">
        <x:v>60</x:v>
      </x:c>
      <x:c r="E3" t="n">
        <x:v>80.9</x:v>
      </x:c>
      <x:c r="F3" t="n">
        <x:v>99.5</x:v>
      </x:c>
      <x:c r="G3" t="n">
        <x:v>106.5</x:v>
      </x:c>
      <x:c r="H3" t="n">
        <x:v>113.1</x:v>
      </x:c>
      <x:c r="I3" t="n">
        <x:v>109.5</x:v>
      </x:c>
      <x:c r="J3" t="n">
        <x:v>114.1</x:v>
      </x:c>
      <x:c r="K3" t="n">
        <x:v>111.3</x:v>
      </x:c>
      <x:c r="L3" t="n">
        <x:v>109.3</x:v>
      </x:c>
    </x:row>
    <x:row r="4">
      <x:c r="A4" t="str">
        <x:v>Benin</x:v>
      </x:c>
      <x:c r="B4" t="str">
        <x:v>Benin</x:v>
      </x:c>
      <x:c r="C4" t="n">
        <x:v>0.2</x:v>
      </x:c>
      <x:c r="D4" t="n">
        <x:v>0.2</x:v>
      </x:c>
      <x:c r="E4" t="n">
        <x:v>0.2</x:v>
      </x:c>
      <x:c r="F4" t="n">
        <x:v>0.2</x:v>
      </x:c>
      <x:c r="G4" t="n">
        <x:v>0.3</x:v>
      </x:c>
      <x:c r="H4" t="n">
        <x:v>0.4</x:v>
      </x:c>
      <x:c r="I4" t="n">
        <x:v>0.5</x:v>
      </x:c>
      <x:c r="J4" t="n">
        <x:v>2.5</x:v>
      </x:c>
      <x:c r="K4" t="n">
        <x:v>2.5</x:v>
      </x:c>
      <x:c r="L4" t="n">
        <x:v>2.5</x:v>
      </x:c>
    </x:row>
    <x:row r="5">
      <x:c r="A5" t="str">
        <x:v>Botswana</x:v>
      </x:c>
      <x:c r="B5" t="str">
        <x:v>Botswana</x:v>
      </x:c>
      <x:c r="C5" t="n">
        <x:v>1</x:v>
      </x:c>
      <x:c r="D5" t="n">
        <x:v>1.5</x:v>
      </x:c>
      <x:c r="E5" t="n">
        <x:v>1.5</x:v>
      </x:c>
      <x:c r="F5" t="n">
        <x:v>1.6</x:v>
      </x:c>
      <x:c r="G5" t="n">
        <x:v>2.5</x:v>
      </x:c>
      <x:c r="H5" t="n">
        <x:v>2.5</x:v>
      </x:c>
      <x:c r="I5" t="n">
        <x:v>2.6</x:v>
      </x:c>
      <x:c r="J5" t="n">
        <x:v>2.6</x:v>
      </x:c>
      <x:c r="K5" t="n">
        <x:v>4.2</x:v>
      </x:c>
      <x:c r="L5" t="n">
        <x:v>4.1</x:v>
      </x:c>
    </x:row>
    <x:row r="6">
      <x:c r="A6" t="str">
        <x:v>Burkina Faso</x:v>
      </x:c>
      <x:c r="B6" t="str">
        <x:v>Burkina Faso</x:v>
      </x:c>
      <x:c r="C6" t="n">
        <x:v>1.9</x:v>
      </x:c>
      <x:c r="D6" t="n">
        <x:v>1.9</x:v>
      </x:c>
      <x:c r="E6" t="n">
        <x:v>3.6</x:v>
      </x:c>
      <x:c r="F6" t="n">
        <x:v>4.2</x:v>
      </x:c>
      <x:c r="G6" t="n">
        <x:v>4.3</x:v>
      </x:c>
      <x:c r="H6" t="n">
        <x:v>4.3</x:v>
      </x:c>
      <x:c r="I6" t="n">
        <x:v>4.2</x:v>
      </x:c>
      <x:c r="J6" t="n">
        <x:v>5.5</x:v>
      </x:c>
      <x:c r="K6" t="n">
        <x:v>9.2</x:v>
      </x:c>
      <x:c r="L6" t="n">
        <x:v>10.2</x:v>
      </x:c>
    </x:row>
    <x:row r="7">
      <x:c r="A7" t="str">
        <x:v>Burundi</x:v>
      </x:c>
      <x:c r="B7" t="str">
        <x:v>Burundi</x:v>
      </x:c>
      <x:c r="C7" t="n">
        <x:v>5</x:v>
      </x:c>
      <x:c r="D7" t="n">
        <x:v>5</x:v>
      </x:c>
      <x:c r="E7" t="n">
        <x:v>4.7</x:v>
      </x:c>
      <x:c r="F7" t="n">
        <x:v>4.6</x:v>
      </x:c>
      <x:c r="G7" t="n">
        <x:v>4.4</x:v>
      </x:c>
      <x:c r="H7" t="n">
        <x:v>4.3</x:v>
      </x:c>
      <x:c r="I7" t="n">
        <x:v>4.7</x:v>
      </x:c>
      <x:c r="J7" t="n">
        <x:v>5.7</x:v>
      </x:c>
      <x:c r="K7" t="n">
        <x:v>5.6</x:v>
      </x:c>
      <x:c r="L7" t="n">
        <x:v>5.5</x:v>
      </x:c>
    </x:row>
    <x:row r="8">
      <x:c r="A8" t="str">
        <x:v>Cabo Verde</x:v>
      </x:c>
      <x:c r="B8" t="str">
        <x:v>Cabo Verde</x:v>
      </x:c>
      <x:c r="C8" t="n">
        <x:v>64.7</x:v>
      </x:c>
      <x:c r="D8" t="n">
        <x:v>64.9</x:v>
      </x:c>
      <x:c r="E8" t="n">
        <x:v>65.2</x:v>
      </x:c>
      <x:c r="F8" t="n">
        <x:v>73.3</x:v>
      </x:c>
      <x:c r="G8" t="n">
        <x:v>79.7</x:v>
      </x:c>
      <x:c r="H8" t="n">
        <x:v>81.2</x:v>
      </x:c>
      <x:c r="I8" t="n">
        <x:v>85.2</x:v>
      </x:c>
      <x:c r="J8" t="n">
        <x:v>95.9</x:v>
      </x:c>
      <x:c r="K8" t="n">
        <x:v>101.2</x:v>
      </x:c>
      <x:c r="L8" t="n">
        <x:v>110.2</x:v>
      </x:c>
    </x:row>
    <x:row r="9">
      <x:c r="A9" t="str">
        <x:v>Cameroon</x:v>
      </x:c>
      <x:c r="B9" t="str">
        <x:v>Cameroon</x:v>
      </x:c>
      <x:c r="C9" t="n">
        <x:v>32.2</x:v>
      </x:c>
      <x:c r="D9" t="n">
        <x:v>31.2</x:v>
      </x:c>
      <x:c r="E9" t="n">
        <x:v>30.8</x:v>
      </x:c>
      <x:c r="F9" t="n">
        <x:v>30</x:v>
      </x:c>
      <x:c r="G9" t="n">
        <x:v>32.4</x:v>
      </x:c>
      <x:c r="H9" t="n">
        <x:v>31.5</x:v>
      </x:c>
      <x:c r="I9" t="n">
        <x:v>31.2</x:v>
      </x:c>
      <x:c r="J9" t="n">
        <x:v>30.4</x:v>
      </x:c>
      <x:c r="K9" t="n">
        <x:v>30.9</x:v>
      </x:c>
      <x:c r="L9" t="n">
        <x:v>30.1</x:v>
      </x:c>
    </x:row>
    <x:row r="10">
      <x:c r="A10" t="str">
        <x:v>Cent Afr Rep</x:v>
      </x:c>
      <x:c r="B10" t="str">
        <x:v>Central African Republic</x:v>
      </x:c>
      <x:c r="C10" t="n">
        <x:v>4.1</x:v>
      </x:c>
      <x:c r="D10" t="n">
        <x:v>4</x:v>
      </x:c>
      <x:c r="E10" t="n">
        <x:v>4</x:v>
      </x:c>
      <x:c r="F10" t="n">
        <x:v>3.9</x:v>
      </x:c>
      <x:c r="G10" t="n">
        <x:v>3.9</x:v>
      </x:c>
      <x:c r="H10" t="n">
        <x:v>3.8</x:v>
      </x:c>
      <x:c r="I10" t="n">
        <x:v>3.8</x:v>
      </x:c>
      <x:c r="J10" t="n">
        <x:v>3.8</x:v>
      </x:c>
      <x:c r="K10" t="n">
        <x:v>11.5</x:v>
      </x:c>
      <x:c r="L10" t="n">
        <x:v>11.1</x:v>
      </x:c>
    </x:row>
    <x:row r="11">
      <x:c r="A11" t="str">
        <x:v>Chad</x:v>
      </x:c>
      <x:c r="B11" t="str">
        <x:v>Chad</x:v>
      </x:c>
      <x:c r="C11" t="n">
        <x:v>0.1</x:v>
      </x:c>
      <x:c r="D11" t="n">
        <x:v>0.2</x:v>
      </x:c>
      <x:c r="E11" t="n">
        <x:v>0.2</x:v>
      </x:c>
      <x:c r="F11" t="n">
        <x:v>0.2</x:v>
      </x:c>
      <x:c r="G11" t="n">
        <x:v>0.2</x:v>
      </x:c>
      <x:c r="H11" t="n">
        <x:v>0.2</x:v>
      </x:c>
      <x:c r="I11" t="n">
        <x:v>0.3</x:v>
      </x:c>
      <x:c r="J11" t="n">
        <x:v>0.3</x:v>
      </x:c>
      <x:c r="K11" t="n">
        <x:v>0.2</x:v>
      </x:c>
      <x:c r="L11" t="n">
        <x:v>0.2</x:v>
      </x:c>
    </x:row>
    <x:row r="12">
      <x:c r="A12" t="str">
        <x:v>Comoros</x:v>
      </x:c>
      <x:c r="B12" t="str">
        <x:v>Comoros</x:v>
      </x:c>
      <x:c r="C12" t="n">
        <x:v>2</x:v>
      </x:c>
      <x:c r="D12" t="n">
        <x:v>3</x:v>
      </x:c>
      <x:c r="E12" t="n">
        <x:v>3.4</x:v>
      </x:c>
      <x:c r="F12" t="n">
        <x:v>3.4</x:v>
      </x:c>
      <x:c r="G12" t="n">
        <x:v>3.3</x:v>
      </x:c>
      <x:c r="H12" t="n">
        <x:v>3.2</x:v>
      </x:c>
      <x:c r="I12" t="n">
        <x:v>5.9</x:v>
      </x:c>
      <x:c r="J12" t="n">
        <x:v>5.4</x:v>
      </x:c>
      <x:c r="K12" t="n">
        <x:v>5.3</x:v>
      </x:c>
      <x:c r="L12" t="n">
        <x:v>5.2</x:v>
      </x:c>
    </x:row>
    <x:row r="13">
      <x:c r="A13" t="str">
        <x:v>Congo DR</x:v>
      </x:c>
      <x:c r="B13" t="str">
        <x:v>Democratic Republic of the Congo</x:v>
      </x:c>
      <x:c r="C13" t="n">
        <x:v>29.8</x:v>
      </x:c>
      <x:c r="D13" t="n">
        <x:v>29</x:v>
      </x:c>
      <x:c r="E13" t="n">
        <x:v>28.1</x:v>
      </x:c>
      <x:c r="F13" t="n">
        <x:v>29</x:v>
      </x:c>
      <x:c r="G13" t="n">
        <x:v>28.2</x:v>
      </x:c>
      <x:c r="H13" t="n">
        <x:v>27.3</x:v>
      </x:c>
      <x:c r="I13" t="n">
        <x:v>26.5</x:v>
      </x:c>
      <x:c r="J13" t="n">
        <x:v>28.9</x:v>
      </x:c>
      <x:c r="K13" t="n">
        <x:v>30.4</x:v>
      </x:c>
      <x:c r="L13" t="n">
        <x:v>30</x:v>
      </x:c>
    </x:row>
    <x:row r="14">
      <x:c r="A14" t="str">
        <x:v>Congo Rep</x:v>
      </x:c>
      <x:c r="B14" t="str">
        <x:v>Republic of the Congo</x:v>
      </x:c>
      <x:c r="C14" t="n">
        <x:v>40.5</x:v>
      </x:c>
      <x:c r="D14" t="n">
        <x:v>40.7</x:v>
      </x:c>
      <x:c r="E14" t="n">
        <x:v>42.3</x:v>
      </x:c>
      <x:c r="F14" t="n">
        <x:v>41.2</x:v>
      </x:c>
      <x:c r="G14" t="n">
        <x:v>40.3</x:v>
      </x:c>
      <x:c r="H14" t="n">
        <x:v>39.4</x:v>
      </x:c>
      <x:c r="I14" t="n">
        <x:v>38.5</x:v>
      </x:c>
      <x:c r="J14" t="n">
        <x:v>37.6</x:v>
      </x:c>
      <x:c r="K14" t="n">
        <x:v>36.7</x:v>
      </x:c>
      <x:c r="L14" t="n">
        <x:v>35.8</x:v>
      </x:c>
    </x:row>
    <x:row r="15">
      <x:c r="A15" t="str">
        <x:v>Cote d Ivoire</x:v>
      </x:c>
      <x:c r="B15" t="str">
        <x:v>Côte d'Ivoire</x:v>
      </x:c>
      <x:c r="C15" t="n">
        <x:v>23.9</x:v>
      </x:c>
      <x:c r="D15" t="n">
        <x:v>23.3</x:v>
      </x:c>
      <x:c r="E15" t="n">
        <x:v>32.9</x:v>
      </x:c>
      <x:c r="F15" t="n">
        <x:v>32.1</x:v>
      </x:c>
      <x:c r="G15" t="n">
        <x:v>31.3</x:v>
      </x:c>
      <x:c r="H15" t="n">
        <x:v>30.6</x:v>
      </x:c>
      <x:c r="I15" t="n">
        <x:v>29.9</x:v>
      </x:c>
      <x:c r="J15" t="n">
        <x:v>29.2</x:v>
      </x:c>
      <x:c r="K15" t="n">
        <x:v>29.5</x:v>
      </x:c>
      <x:c r="L15" t="n">
        <x:v>28.8</x:v>
      </x:c>
    </x:row>
    <x:row r="16">
      <x:c r="A16" t="str">
        <x:v>Djibouti</x:v>
      </x:c>
      <x:c r="B16" t="str">
        <x:v>Djibouti</x:v>
      </x:c>
      <x:c r="C16" t="n">
        <x:v>0.1</x:v>
      </x:c>
      <x:c r="D16" t="n">
        <x:v>0.4</x:v>
      </x:c>
      <x:c r="E16" t="n">
        <x:v>0.4</x:v>
      </x:c>
      <x:c r="F16" t="n">
        <x:v>0.4</x:v>
      </x:c>
      <x:c r="G16" t="n">
        <x:v>0.4</x:v>
      </x:c>
      <x:c r="H16" t="n">
        <x:v>0.4</x:v>
      </x:c>
      <x:c r="I16" t="n">
        <x:v>18.2</x:v>
      </x:c>
      <x:c r="J16" t="n">
        <x:v>18</x:v>
      </x:c>
      <x:c r="K16" t="n">
        <x:v>69.8</x:v>
      </x:c>
      <x:c r="L16" t="n">
        <x:v>68.8</x:v>
      </x:c>
    </x:row>
    <x:row r="17">
      <x:c r="A17" t="str">
        <x:v>Egypt</x:v>
      </x:c>
      <x:c r="B17" t="str">
        <x:v>Egypt</x:v>
      </x:c>
      <x:c r="C17" t="n">
        <x:v>36.7</x:v>
      </x:c>
      <x:c r="D17" t="n">
        <x:v>36.2</x:v>
      </x:c>
      <x:c r="E17" t="n">
        <x:v>36.7</x:v>
      </x:c>
      <x:c r="F17" t="n">
        <x:v>45.4</x:v>
      </x:c>
      <x:c r="G17" t="n">
        <x:v>52.9</x:v>
      </x:c>
      <x:c r="H17" t="n">
        <x:v>54.3</x:v>
      </x:c>
      <x:c r="I17" t="n">
        <x:v>56.4</x:v>
      </x:c>
      <x:c r="J17" t="n">
        <x:v>56.1</x:v>
      </x:c>
      <x:c r="K17" t="n">
        <x:v>58.6</x:v>
      </x:c>
      <x:c r="L17" t="n">
        <x:v>66.5</x:v>
      </x:c>
    </x:row>
    <x:row r="18">
      <x:c r="A18" t="str">
        <x:v>Eq Guinea</x:v>
      </x:c>
      <x:c r="B18" t="str">
        <x:v>Equatorial Guinea</x:v>
      </x:c>
      <x:c r="C18" t="n">
        <x:v>86.4</x:v>
      </x:c>
      <x:c r="D18" t="n">
        <x:v>83.4</x:v>
      </x:c>
      <x:c r="E18" t="n">
        <x:v>80.6</x:v>
      </x:c>
      <x:c r="F18" t="n">
        <x:v>78.9</x:v>
      </x:c>
      <x:c r="G18" t="n">
        <x:v>76.3</x:v>
      </x:c>
      <x:c r="H18" t="n">
        <x:v>74.3</x:v>
      </x:c>
      <x:c r="I18" t="n">
        <x:v>72.4</x:v>
      </x:c>
      <x:c r="J18" t="n">
        <x:v>70.5</x:v>
      </x:c>
      <x:c r="K18" t="n">
        <x:v>68.8</x:v>
      </x:c>
      <x:c r="L18" t="n">
        <x:v>67.2</x:v>
      </x:c>
    </x:row>
    <x:row r="19">
      <x:c r="A19" t="str">
        <x:v>Eritrea</x:v>
      </x:c>
      <x:c r="B19" t="str">
        <x:v>Eritrea</x:v>
      </x:c>
      <x:c r="C19" t="n">
        <x:v>2.8</x:v>
      </x:c>
      <x:c r="D19" t="n">
        <x:v>3.1</x:v>
      </x:c>
      <x:c r="E19" t="n">
        <x:v>7.7</x:v>
      </x:c>
      <x:c r="F19" t="n">
        <x:v>8.4</x:v>
      </x:c>
      <x:c r="G19" t="n">
        <x:v>8.3</x:v>
      </x:c>
      <x:c r="H19" t="n">
        <x:v>8.1</x:v>
      </x:c>
      <x:c r="I19" t="n">
        <x:v>7.7</x:v>
      </x:c>
      <x:c r="J19" t="n">
        <x:v>7.5</x:v>
      </x:c>
      <x:c r="K19" t="n">
        <x:v>7.4</x:v>
      </x:c>
      <x:c r="L19" t="n">
        <x:v>7.2</x:v>
      </x:c>
    </x:row>
    <x:row r="20">
      <x:c r="A20" t="str">
        <x:v>Eswatini</x:v>
      </x:c>
      <x:c r="B20" t="str">
        <x:v>Eswatini</x:v>
      </x:c>
      <x:c r="C20" t="n">
        <x:v>147.2</x:v>
      </x:c>
      <x:c r="D20" t="n">
        <x:v>146.4</x:v>
      </x:c>
      <x:c r="E20" t="n">
        <x:v>145.3</x:v>
      </x:c>
      <x:c r="F20" t="n">
        <x:v>144</x:v>
      </x:c>
      <x:c r="G20" t="n">
        <x:v>142.7</x:v>
      </x:c>
      <x:c r="H20" t="n">
        <x:v>141.2</x:v>
      </x:c>
      <x:c r="I20" t="n">
        <x:v>147.8</x:v>
      </x:c>
      <x:c r="J20" t="n">
        <x:v>146.3</x:v>
      </x:c>
      <x:c r="K20" t="n">
        <x:v>160.5</x:v>
      </x:c>
      <x:c r="L20" t="n">
        <x:v>158.9</x:v>
      </x:c>
    </x:row>
    <x:row r="21">
      <x:c r="A21" t="str">
        <x:v>Ethiopia</x:v>
      </x:c>
      <x:c r="B21" t="str">
        <x:v>Ethiopia</x:v>
      </x:c>
      <x:c r="C21" t="n">
        <x:v>25.2</x:v>
      </x:c>
      <x:c r="D21" t="n">
        <x:v>24.8</x:v>
      </x:c>
      <x:c r="E21" t="n">
        <x:v>39.8</x:v>
      </x:c>
      <x:c r="F21" t="n">
        <x:v>39.5</x:v>
      </x:c>
      <x:c r="G21" t="n">
        <x:v>38.5</x:v>
      </x:c>
      <x:c r="H21" t="n">
        <x:v>39.6</x:v>
      </x:c>
      <x:c r="I21" t="n">
        <x:v>39</x:v>
      </x:c>
      <x:c r="J21" t="n">
        <x:v>44.6</x:v>
      </x:c>
      <x:c r="K21" t="n">
        <x:v>43.3</x:v>
      </x:c>
      <x:c r="L21" t="n">
        <x:v>45.4</x:v>
      </x:c>
    </x:row>
    <x:row r="22">
      <x:c r="A22" t="str">
        <x:v>Gabon</x:v>
      </x:c>
      <x:c r="B22" t="str">
        <x:v>Gabon</x:v>
      </x:c>
      <x:c r="C22" t="n">
        <x:v>84.2</x:v>
      </x:c>
      <x:c r="D22" t="n">
        <x:v>81.8</x:v>
      </x:c>
      <x:c r="E22" t="n">
        <x:v>80.1</x:v>
      </x:c>
      <x:c r="F22" t="n">
        <x:v>78.4</x:v>
      </x:c>
      <x:c r="G22" t="n">
        <x:v>141.5</x:v>
      </x:c>
      <x:c r="H22" t="n">
        <x:v>138.2</x:v>
      </x:c>
      <x:c r="I22" t="n">
        <x:v>135.2</x:v>
      </x:c>
      <x:c r="J22" t="n">
        <x:v>132.2</x:v>
      </x:c>
      <x:c r="K22" t="n">
        <x:v>129.3</x:v>
      </x:c>
      <x:c r="L22" t="n">
        <x:v>130.9</x:v>
      </x:c>
    </x:row>
    <x:row r="23">
      <x:c r="A23" t="str">
        <x:v>Gambia</x:v>
      </x:c>
      <x:c r="B23" t="str">
        <x:v>Gambia</x:v>
      </x:c>
      <x:c r="C23" t="n">
        <x:v>0.8</x:v>
      </x:c>
      <x:c r="D23" t="n">
        <x:v>1</x:v>
      </x:c>
      <x:c r="E23" t="n">
        <x:v>1.1</x:v>
      </x:c>
      <x:c r="F23" t="n">
        <x:v>1.1</x:v>
      </x:c>
      <x:c r="G23" t="n">
        <x:v>1.2</x:v>
      </x:c>
      <x:c r="H23" t="n">
        <x:v>1.2</x:v>
      </x:c>
      <x:c r="I23" t="n">
        <x:v>1.2</x:v>
      </x:c>
      <x:c r="J23" t="n">
        <x:v>1.1</x:v>
      </x:c>
      <x:c r="K23" t="n">
        <x:v>1.1</x:v>
      </x:c>
      <x:c r="L23" t="n">
        <x:v>9.4</x:v>
      </x:c>
    </x:row>
    <x:row r="24">
      <x:c r="A24" t="str">
        <x:v>Ghana</x:v>
      </x:c>
      <x:c r="B24" t="str">
        <x:v>Ghana</x:v>
      </x:c>
      <x:c r="C24" t="n">
        <x:v>56.6</x:v>
      </x:c>
      <x:c r="D24" t="n">
        <x:v>55.5</x:v>
      </x:c>
      <x:c r="E24" t="n">
        <x:v>54.5</x:v>
      </x:c>
      <x:c r="F24" t="n">
        <x:v>54.3</x:v>
      </x:c>
      <x:c r="G24" t="n">
        <x:v>53.6</x:v>
      </x:c>
      <x:c r="H24" t="n">
        <x:v>53.3</x:v>
      </x:c>
      <x:c r="I24" t="n">
        <x:v>54.1</x:v>
      </x:c>
      <x:c r="J24" t="n">
        <x:v>53.1</x:v>
      </x:c>
      <x:c r="K24" t="n">
        <x:v>52.7</x:v>
      </x:c>
      <x:c r="L24" t="n">
        <x:v>51.7</x:v>
      </x:c>
    </x:row>
    <x:row r="25">
      <x:c r="A25" t="str">
        <x:v>Guinea</x:v>
      </x:c>
      <x:c r="B25" t="str">
        <x:v>Guinea</x:v>
      </x:c>
      <x:c r="C25" t="n">
        <x:v>31.4</x:v>
      </x:c>
      <x:c r="D25" t="n">
        <x:v>30.6</x:v>
      </x:c>
      <x:c r="E25" t="n">
        <x:v>29.8</x:v>
      </x:c>
      <x:c r="F25" t="n">
        <x:v>30.1</x:v>
      </x:c>
      <x:c r="G25" t="n">
        <x:v>29</x:v>
      </x:c>
      <x:c r="H25" t="n">
        <x:v>45.2</x:v>
      </x:c>
      <x:c r="I25" t="n">
        <x:v>60.5</x:v>
      </x:c>
      <x:c r="J25" t="n">
        <x:v>59.1</x:v>
      </x:c>
      <x:c r="K25" t="n">
        <x:v>57.7</x:v>
      </x:c>
      <x:c r="L25" t="n">
        <x:v>56.3</x:v>
      </x:c>
    </x:row>
    <x:row r="26">
      <x:c r="A26" t="str">
        <x:v>Guinea Bissau</x:v>
      </x:c>
      <x:c r="B26" t="str">
        <x:v>Guinea-Bissau</x:v>
      </x:c>
      <x:c r="C26" t="n">
        <x:v>0.1</x:v>
      </x:c>
      <x:c r="D26" t="n">
        <x:v>0.4</x:v>
      </x:c>
      <x:c r="E26" t="n">
        <x:v>0.5</x:v>
      </x:c>
      <x:c r="F26" t="n">
        <x:v>1</x:v>
      </x:c>
      <x:c r="G26" t="n">
        <x:v>0.9</x:v>
      </x:c>
      <x:c r="H26" t="n">
        <x:v>0.9</x:v>
      </x:c>
      <x:c r="I26" t="n">
        <x:v>1</x:v>
      </x:c>
      <x:c r="J26" t="n">
        <x:v>0.9</x:v>
      </x:c>
      <x:c r="K26" t="n">
        <x:v>0.9</x:v>
      </x:c>
      <x:c r="L26" t="n">
        <x:v>0.9</x:v>
      </x:c>
    </x:row>
    <x:row r="27">
      <x:c r="A27" t="str">
        <x:v>Kenya</x:v>
      </x:c>
      <x:c r="B27" t="str">
        <x:v>Kenya</x:v>
      </x:c>
      <x:c r="C27" t="n">
        <x:v>33.1</x:v>
      </x:c>
      <x:c r="D27" t="n">
        <x:v>33.8</x:v>
      </x:c>
      <x:c r="E27" t="n">
        <x:v>34</x:v>
      </x:c>
      <x:c r="F27" t="n">
        <x:v>41</x:v>
      </x:c>
      <x:c r="G27" t="n">
        <x:v>40.7</x:v>
      </x:c>
      <x:c r="H27" t="n">
        <x:v>44</x:v>
      </x:c>
      <x:c r="I27" t="n">
        <x:v>46.5</x:v>
      </x:c>
      <x:c r="J27" t="n">
        <x:v>49.1</x:v>
      </x:c>
      <x:c r="K27" t="n">
        <x:v>53.2</x:v>
      </x:c>
      <x:c r="L27" t="n">
        <x:v>54.1</x:v>
      </x:c>
    </x:row>
    <x:row r="28">
      <x:c r="A28" t="str">
        <x:v>Lesotho</x:v>
      </x:c>
      <x:c r="B28" t="str">
        <x:v>Lesotho</x:v>
      </x:c>
      <x:c r="C28" t="n">
        <x:v>35.5</x:v>
      </x:c>
      <x:c r="D28" t="n">
        <x:v>35</x:v>
      </x:c>
      <x:c r="E28" t="n">
        <x:v>34.6</x:v>
      </x:c>
      <x:c r="F28" t="n">
        <x:v>34.1</x:v>
      </x:c>
      <x:c r="G28" t="n">
        <x:v>33.8</x:v>
      </x:c>
      <x:c r="H28" t="n">
        <x:v>33.4</x:v>
      </x:c>
      <x:c r="I28" t="n">
        <x:v>33.1</x:v>
      </x:c>
      <x:c r="J28" t="n">
        <x:v>32.8</x:v>
      </x:c>
      <x:c r="K28" t="n">
        <x:v>44.5</x:v>
      </x:c>
      <x:c r="L28" t="n">
        <x:v>44.5</x:v>
      </x:c>
    </x:row>
    <x:row r="29">
      <x:c r="A29" t="str">
        <x:v>Liberia</x:v>
      </x:c>
      <x:c r="B29" t="str">
        <x:v>Liberia</x:v>
      </x:c>
      <x:c r="C29" t="n">
        <x:v>1.1</x:v>
      </x:c>
      <x:c r="D29" t="n">
        <x:v>5.8</x:v>
      </x:c>
      <x:c r="E29" t="n">
        <x:v>19.3</x:v>
      </x:c>
      <x:c r="F29" t="n">
        <x:v>19</x:v>
      </x:c>
      <x:c r="G29" t="n">
        <x:v>18.8</x:v>
      </x:c>
      <x:c r="H29" t="n">
        <x:v>18.5</x:v>
      </x:c>
      <x:c r="I29" t="n">
        <x:v>18.1</x:v>
      </x:c>
      <x:c r="J29" t="n">
        <x:v>17.8</x:v>
      </x:c>
      <x:c r="K29" t="n">
        <x:v>17.5</x:v>
      </x:c>
      <x:c r="L29" t="n">
        <x:v>17.1</x:v>
      </x:c>
    </x:row>
    <x:row r="30">
      <x:c r="A30" t="str">
        <x:v>Libya</x:v>
      </x:c>
      <x:c r="B30" t="str">
        <x:v>Libya</x:v>
      </x:c>
      <x:c r="C30" t="n">
        <x:v>0.8</x:v>
      </x:c>
      <x:c r="D30" t="n">
        <x:v>0.7</x:v>
      </x:c>
      <x:c r="E30" t="n">
        <x:v>0.8</x:v>
      </x:c>
      <x:c r="F30" t="n">
        <x:v>0.7</x:v>
      </x:c>
      <x:c r="G30" t="n">
        <x:v>0.7</x:v>
      </x:c>
      <x:c r="H30" t="n">
        <x:v>0.7</x:v>
      </x:c>
      <x:c r="I30" t="n">
        <x:v>0.9</x:v>
      </x:c>
      <x:c r="J30" t="n">
        <x:v>0.9</x:v>
      </x:c>
      <x:c r="K30" t="n">
        <x:v>1.1</x:v>
      </x:c>
      <x:c r="L30" t="n">
        <x:v>1.1</x:v>
      </x:c>
    </x:row>
    <x:row r="31">
      <x:c r="A31" t="str">
        <x:v>Madagascar</x:v>
      </x:c>
      <x:c r="B31" t="str">
        <x:v>Madagascar</x:v>
      </x:c>
      <x:c r="C31" t="n">
        <x:v>6.5</x:v>
      </x:c>
      <x:c r="D31" t="n">
        <x:v>6.3</x:v>
      </x:c>
      <x:c r="E31" t="n">
        <x:v>6.2</x:v>
      </x:c>
      <x:c r="F31" t="n">
        <x:v>6.8</x:v>
      </x:c>
      <x:c r="G31" t="n">
        <x:v>6.6</x:v>
      </x:c>
      <x:c r="H31" t="n">
        <x:v>6.5</x:v>
      </x:c>
      <x:c r="I31" t="n">
        <x:v>6.4</x:v>
      </x:c>
      <x:c r="J31" t="n">
        <x:v>8.1</x:v>
      </x:c>
      <x:c r="K31" t="n">
        <x:v>8</x:v>
      </x:c>
      <x:c r="L31" t="n">
        <x:v>7.9</x:v>
      </x:c>
    </x:row>
    <x:row r="32">
      <x:c r="A32" t="str">
        <x:v>Malawi</x:v>
      </x:c>
      <x:c r="B32" t="str">
        <x:v>Malawi</x:v>
      </x:c>
      <x:c r="C32" t="n">
        <x:v>23</x:v>
      </x:c>
      <x:c r="D32" t="n">
        <x:v>22.4</x:v>
      </x:c>
      <x:c r="E32" t="n">
        <x:v>21.9</x:v>
      </x:c>
      <x:c r="F32" t="n">
        <x:v>21.3</x:v>
      </x:c>
      <x:c r="G32" t="n">
        <x:v>20.8</x:v>
      </x:c>
      <x:c r="H32" t="n">
        <x:v>20.4</x:v>
      </x:c>
      <x:c r="I32" t="n">
        <x:v>23.8</x:v>
      </x:c>
      <x:c r="J32" t="n">
        <x:v>25.3</x:v>
      </x:c>
      <x:c r="K32" t="n">
        <x:v>24.7</x:v>
      </x:c>
      <x:c r="L32" t="n">
        <x:v>24</x:v>
      </x:c>
    </x:row>
    <x:row r="33">
      <x:c r="A33" t="str">
        <x:v>Mali</x:v>
      </x:c>
      <x:c r="B33" t="str">
        <x:v>Mali</x:v>
      </x:c>
      <x:c r="C33" t="n">
        <x:v>17.6</x:v>
      </x:c>
      <x:c r="D33" t="n">
        <x:v>17.1</x:v>
      </x:c>
      <x:c r="E33" t="n">
        <x:v>18.4</x:v>
      </x:c>
      <x:c r="F33" t="n">
        <x:v>17.9</x:v>
      </x:c>
      <x:c r="G33" t="n">
        <x:v>17.4</x:v>
      </x:c>
      <x:c r="H33" t="n">
        <x:v>19.2</x:v>
      </x:c>
      <x:c r="I33" t="n">
        <x:v>20</x:v>
      </x:c>
      <x:c r="J33" t="n">
        <x:v>25.7</x:v>
      </x:c>
      <x:c r="K33" t="n">
        <x:v>24.9</x:v>
      </x:c>
      <x:c r="L33" t="n">
        <x:v>25.9</x:v>
      </x:c>
    </x:row>
    <x:row r="34">
      <x:c r="A34" t="str">
        <x:v>Mauritania</x:v>
      </x:c>
      <x:c r="B34" t="str">
        <x:v>Mauritania</x:v>
      </x:c>
      <x:c r="C34" t="n">
        <x:v>13.3</x:v>
      </x:c>
      <x:c r="D34" t="n">
        <x:v>16.9</x:v>
      </x:c>
      <x:c r="E34" t="n">
        <x:v>16.4</x:v>
      </x:c>
      <x:c r="F34" t="n">
        <x:v>28</x:v>
      </x:c>
      <x:c r="G34" t="n">
        <x:v>27.3</x:v>
      </x:c>
      <x:c r="H34" t="n">
        <x:v>26.5</x:v>
      </x:c>
      <x:c r="I34" t="n">
        <x:v>25.7</x:v>
      </x:c>
      <x:c r="J34" t="n">
        <x:v>25.3</x:v>
      </x:c>
      <x:c r="K34" t="n">
        <x:v>51.7</x:v>
      </x:c>
      <x:c r="L34" t="n">
        <x:v>56.8</x:v>
      </x:c>
    </x:row>
    <x:row r="35">
      <x:c r="A35" t="str">
        <x:v>Mauritius</x:v>
      </x:c>
      <x:c r="B35" t="str">
        <x:v>Mauritius</x:v>
      </x:c>
      <x:c r="C35" t="n">
        <x:v>133</x:v>
      </x:c>
      <x:c r="D35" t="n">
        <x:v>145.6</x:v>
      </x:c>
      <x:c r="E35" t="n">
        <x:v>151.2</x:v>
      </x:c>
      <x:c r="F35" t="n">
        <x:v>184.7</x:v>
      </x:c>
      <x:c r="G35" t="n">
        <x:v>204.4</x:v>
      </x:c>
      <x:c r="H35" t="n">
        <x:v>211.4</x:v>
      </x:c>
      <x:c r="I35" t="n">
        <x:v>214.2</x:v>
      </x:c>
      <x:c r="J35" t="n">
        <x:v>213.2</x:v>
      </x:c>
      <x:c r="K35" t="n">
        <x:v>226.2</x:v>
      </x:c>
      <x:c r="L35" t="n">
        <x:v>237.5</x:v>
      </x:c>
    </x:row>
    <x:row r="36">
      <x:c r="A36" t="str">
        <x:v>Morocco</x:v>
      </x:c>
      <x:c r="B36" t="str">
        <x:v>Morocco</x:v>
      </x:c>
      <x:c r="C36" t="n">
        <x:v>66.7</x:v>
      </x:c>
      <x:c r="D36" t="n">
        <x:v>69</x:v>
      </x:c>
      <x:c r="E36" t="n">
        <x:v>71.6</x:v>
      </x:c>
      <x:c r="F36" t="n">
        <x:v>91.3</x:v>
      </x:c>
      <x:c r="G36" t="n">
        <x:v>90.4</x:v>
      </x:c>
      <x:c r="H36" t="n">
        <x:v>96.3</x:v>
      </x:c>
      <x:c r="I36" t="n">
        <x:v>98.4</x:v>
      </x:c>
      <x:c r="J36" t="n">
        <x:v>99.8</x:v>
      </x:c>
      <x:c r="K36" t="n">
        <x:v>112.5</x:v>
      </x:c>
      <x:c r="L36" t="n">
        <x:v>122.3</x:v>
      </x:c>
    </x:row>
    <x:row r="37">
      <x:c r="A37" t="str">
        <x:v>Mozambique</x:v>
      </x:c>
      <x:c r="B37" t="str">
        <x:v>Mozambique</x:v>
      </x:c>
      <x:c r="C37" t="n">
        <x:v>85.4</x:v>
      </x:c>
      <x:c r="D37" t="n">
        <x:v>83</x:v>
      </x:c>
      <x:c r="E37" t="n">
        <x:v>80.5</x:v>
      </x:c>
      <x:c r="F37" t="n">
        <x:v>78.2</x:v>
      </x:c>
      <x:c r="G37" t="n">
        <x:v>77.3</x:v>
      </x:c>
      <x:c r="H37" t="n">
        <x:v>75.2</x:v>
      </x:c>
      <x:c r="I37" t="n">
        <x:v>73</x:v>
      </x:c>
      <x:c r="J37" t="n">
        <x:v>72.1</x:v>
      </x:c>
      <x:c r="K37" t="n">
        <x:v>70.5</x:v>
      </x:c>
      <x:c r="L37" t="n">
        <x:v>68.6</x:v>
      </x:c>
    </x:row>
    <x:row r="38">
      <x:c r="A38" t="str">
        <x:v>Namibia</x:v>
      </x:c>
      <x:c r="B38" t="str">
        <x:v>Namibia</x:v>
      </x:c>
      <x:c r="C38" t="n">
        <x:v>145.4</x:v>
      </x:c>
      <x:c r="D38" t="n">
        <x:v>153.5</x:v>
      </x:c>
      <x:c r="E38" t="n">
        <x:v>167.6</x:v>
      </x:c>
      <x:c r="F38" t="n">
        <x:v>185.3</x:v>
      </x:c>
      <x:c r="G38" t="n">
        <x:v>204.3</x:v>
      </x:c>
      <x:c r="H38" t="n">
        <x:v>200.1</x:v>
      </x:c>
      <x:c r="I38" t="n">
        <x:v>195.2</x:v>
      </x:c>
      <x:c r="J38" t="n">
        <x:v>206.6</x:v>
      </x:c>
      <x:c r="K38" t="n">
        <x:v>201.5</x:v>
      </x:c>
      <x:c r="L38" t="n">
        <x:v>197</x:v>
      </x:c>
    </x:row>
    <x:row r="39">
      <x:c r="A39" t="str">
        <x:v>Niger</x:v>
      </x:c>
      <x:c r="B39" t="str">
        <x:v>Niger</x:v>
      </x:c>
      <x:c r="C39" t="n">
        <x:v>0.3</x:v>
      </x:c>
      <x:c r="D39" t="n">
        <x:v>0.3</x:v>
      </x:c>
      <x:c r="E39" t="n">
        <x:v>0.3</x:v>
      </x:c>
      <x:c r="F39" t="n">
        <x:v>0.6</x:v>
      </x:c>
      <x:c r="G39" t="n">
        <x:v>0.6</x:v>
      </x:c>
      <x:c r="H39" t="n">
        <x:v>0.6</x:v>
      </x:c>
      <x:c r="I39" t="n">
        <x:v>0.6</x:v>
      </x:c>
      <x:c r="J39" t="n">
        <x:v>2</x:v>
      </x:c>
      <x:c r="K39" t="n">
        <x:v>3.2</x:v>
      </x:c>
      <x:c r="L39" t="n">
        <x:v>3.1</x:v>
      </x:c>
    </x:row>
    <x:row r="40">
      <x:c r="A40" t="str">
        <x:v>Nigeria</x:v>
      </x:c>
      <x:c r="B40" t="str">
        <x:v>Nigeria</x:v>
      </x:c>
      <x:c r="C40" t="n">
        <x:v>11.2</x:v>
      </x:c>
      <x:c r="D40" t="n">
        <x:v>11</x:v>
      </x:c>
      <x:c r="E40" t="n">
        <x:v>10.7</x:v>
      </x:c>
      <x:c r="F40" t="n">
        <x:v>10.5</x:v>
      </x:c>
      <x:c r="G40" t="n">
        <x:v>10.4</x:v>
      </x:c>
      <x:c r="H40" t="n">
        <x:v>10.3</x:v>
      </x:c>
      <x:c r="I40" t="n">
        <x:v>10.3</x:v>
      </x:c>
      <x:c r="J40" t="n">
        <x:v>10.2</x:v>
      </x:c>
      <x:c r="K40" t="n">
        <x:v>13.4</x:v>
      </x:c>
      <x:c r="L40" t="n">
        <x:v>13.2</x:v>
      </x:c>
    </x:row>
    <x:row r="41">
      <x:c r="A41" t="str">
        <x:v>Rwanda</x:v>
      </x:c>
      <x:c r="B41" t="str">
        <x:v>Rwanda</x:v>
      </x:c>
      <x:c r="C41" t="n">
        <x:v>9</x:v>
      </x:c>
      <x:c r="D41" t="n">
        <x:v>9.3</x:v>
      </x:c>
      <x:c r="E41" t="n">
        <x:v>9.4</x:v>
      </x:c>
      <x:c r="F41" t="n">
        <x:v>9.4</x:v>
      </x:c>
      <x:c r="G41" t="n">
        <x:v>10.3</x:v>
      </x:c>
      <x:c r="H41" t="n">
        <x:v>10.9</x:v>
      </x:c>
      <x:c r="I41" t="n">
        <x:v>10.8</x:v>
      </x:c>
      <x:c r="J41" t="n">
        <x:v>11.1</x:v>
      </x:c>
      <x:c r="K41" t="n">
        <x:v>10.9</x:v>
      </x:c>
      <x:c r="L41" t="n">
        <x:v>12.7</x:v>
      </x:c>
    </x:row>
    <x:row r="42">
      <x:c r="A42" t="str">
        <x:v>Sao Tome Prn</x:v>
      </x:c>
      <x:c r="B42" t="str">
        <x:v>Sao Tome and Principe</x:v>
      </x:c>
      <x:c r="C42" t="n">
        <x:v>9.6</x:v>
      </x:c>
      <x:c r="D42" t="n">
        <x:v>10.2</x:v>
      </x:c>
      <x:c r="E42" t="n">
        <x:v>11</x:v>
      </x:c>
      <x:c r="F42" t="n">
        <x:v>10.8</x:v>
      </x:c>
      <x:c r="G42" t="n">
        <x:v>10.6</x:v>
      </x:c>
      <x:c r="H42" t="n">
        <x:v>10.4</x:v>
      </x:c>
      <x:c r="I42" t="n">
        <x:v>9.6</x:v>
      </x:c>
      <x:c r="J42" t="n">
        <x:v>8.5</x:v>
      </x:c>
      <x:c r="K42" t="n">
        <x:v>10.7</x:v>
      </x:c>
      <x:c r="L42" t="n">
        <x:v>10.5</x:v>
      </x:c>
    </x:row>
    <x:row r="43">
      <x:c r="A43" t="str">
        <x:v>Senegal</x:v>
      </x:c>
      <x:c r="B43" t="str">
        <x:v>Senegal</x:v>
      </x:c>
      <x:c r="C43" t="n">
        <x:v>3.9</x:v>
      </x:c>
      <x:c r="D43" t="n">
        <x:v>6.7</x:v>
      </x:c>
      <x:c r="E43" t="n">
        <x:v>9.2</x:v>
      </x:c>
      <x:c r="F43" t="n">
        <x:v>11.5</x:v>
      </x:c>
      <x:c r="G43" t="n">
        <x:v>16.2</x:v>
      </x:c>
      <x:c r="H43" t="n">
        <x:v>22</x:v>
      </x:c>
      <x:c r="I43" t="n">
        <x:v>25.3</x:v>
      </x:c>
      <x:c r="J43" t="n">
        <x:v>24.9</x:v>
      </x:c>
      <x:c r="K43" t="n">
        <x:v>24.3</x:v>
      </x:c>
      <x:c r="L43" t="n">
        <x:v>26</x:v>
      </x:c>
    </x:row>
    <x:row r="44">
      <x:c r="A44" t="str">
        <x:v>Seychelles</x:v>
      </x:c>
      <x:c r="B44" t="str">
        <x:v>Seychelles</x:v>
      </x:c>
      <x:c r="C44" t="n">
        <x:v>69.1</x:v>
      </x:c>
      <x:c r="D44" t="n">
        <x:v>79.7</x:v>
      </x:c>
      <x:c r="E44" t="n">
        <x:v>87.1</x:v>
      </x:c>
      <x:c r="F44" t="n">
        <x:v>97</x:v>
      </x:c>
      <x:c r="G44" t="n">
        <x:v>94.7</x:v>
      </x:c>
      <x:c r="H44" t="n">
        <x:v>115.7</x:v>
      </x:c>
      <x:c r="I44" t="n">
        <x:v>188.7</x:v>
      </x:c>
      <x:c r="J44" t="n">
        <x:v>189.2</x:v>
      </x:c>
      <x:c r="K44" t="n">
        <x:v>185.6</x:v>
      </x:c>
      <x:c r="L44" t="n">
        <x:v>182.1</x:v>
      </x:c>
    </x:row>
    <x:row r="45">
      <x:c r="A45" t="str">
        <x:v>Sierra Leone</x:v>
      </x:c>
      <x:c r="B45" t="str">
        <x:v>Sierra Leone</x:v>
      </x:c>
      <x:c r="C45" t="n">
        <x:v>12.8</x:v>
      </x:c>
      <x:c r="D45" t="n">
        <x:v>12.6</x:v>
      </x:c>
      <x:c r="E45" t="n">
        <x:v>13</x:v>
      </x:c>
      <x:c r="F45" t="n">
        <x:v>12.7</x:v>
      </x:c>
      <x:c r="G45" t="n">
        <x:v>12.8</x:v>
      </x:c>
      <x:c r="H45" t="n">
        <x:v>12.8</x:v>
      </x:c>
      <x:c r="I45" t="n">
        <x:v>13.5</x:v>
      </x:c>
      <x:c r="J45" t="n">
        <x:v>13.9</x:v>
      </x:c>
      <x:c r="K45" t="n">
        <x:v>13.6</x:v>
      </x:c>
      <x:c r="L45" t="n">
        <x:v>13.3</x:v>
      </x:c>
    </x:row>
    <x:row r="46">
      <x:c r="A46" t="str">
        <x:v>Somalia</x:v>
      </x:c>
      <x:c r="B46" t="str">
        <x:v>Somalia</x:v>
      </x:c>
      <x:c r="C46" t="n">
        <x:v>0.2</x:v>
      </x:c>
      <x:c r="D46" t="n">
        <x:v>0.3</x:v>
      </x:c>
      <x:c r="E46" t="n">
        <x:v>0.3</x:v>
      </x:c>
      <x:c r="F46" t="n">
        <x:v>0.4</x:v>
      </x:c>
      <x:c r="G46" t="n">
        <x:v>0.4</x:v>
      </x:c>
      <x:c r="H46" t="n">
        <x:v>0.9</x:v>
      </x:c>
      <x:c r="I46" t="n">
        <x:v>1.3</x:v>
      </x:c>
      <x:c r="J46" t="n">
        <x:v>2.6</x:v>
      </x:c>
      <x:c r="K46" t="n">
        <x:v>2.7</x:v>
      </x:c>
      <x:c r="L46" t="n">
        <x:v>2.6</x:v>
      </x:c>
    </x:row>
    <x:row r="47">
      <x:c r="A47" t="str">
        <x:v>South Africa</x:v>
      </x:c>
      <x:c r="B47" t="str">
        <x:v>South Africa</x:v>
      </x:c>
      <x:c r="C47" t="n">
        <x:v>60.5</x:v>
      </x:c>
      <x:c r="D47" t="n">
        <x:v>76.5</x:v>
      </x:c>
      <x:c r="E47" t="n">
        <x:v>92.1</x:v>
      </x:c>
      <x:c r="F47" t="n">
        <x:v>95.7</x:v>
      </x:c>
      <x:c r="G47" t="n">
        <x:v>99.2</x:v>
      </x:c>
      <x:c r="H47" t="n">
        <x:v>119.4</x:v>
      </x:c>
      <x:c r="I47" t="n">
        <x:v>125.5</x:v>
      </x:c>
      <x:c r="J47" t="n">
        <x:v>158.5</x:v>
      </x:c>
      <x:c r="K47" t="n">
        <x:v>197.2</x:v>
      </x:c>
      <x:c r="L47" t="n">
        <x:v>211.2</x:v>
      </x:c>
    </x:row>
    <x:row r="48">
      <x:c r="A48" t="str">
        <x:v>South Sudan</x:v>
      </x:c>
      <x:c r="B48" t="str">
        <x:v>South Sudan</x:v>
      </x:c>
      <x:c r="C48" t="n">
        <x:v>0</x:v>
      </x:c>
      <x:c r="D48" t="n">
        <x:v>0.1</x:v>
      </x:c>
      <x:c r="E48" t="n">
        <x:v>0.2</x:v>
      </x:c>
      <x:c r="F48" t="n">
        <x:v>0.2</x:v>
      </x:c>
      <x:c r="G48" t="n">
        <x:v>0.2</x:v>
      </x:c>
      <x:c r="H48" t="n">
        <x:v>0.3</x:v>
      </x:c>
      <x:c r="I48" t="n">
        <x:v>0.3</x:v>
      </x:c>
      <x:c r="J48" t="n">
        <x:v>0.4</x:v>
      </x:c>
      <x:c r="K48" t="n">
        <x:v>1.5</x:v>
      </x:c>
      <x:c r="L48" t="n">
        <x:v>2.7</x:v>
      </x:c>
    </x:row>
    <x:row r="49">
      <x:c r="A49" t="str">
        <x:v>Sudan</x:v>
      </x:c>
      <x:c r="B49" t="str">
        <x:v>Sudan</x:v>
      </x:c>
      <x:c r="C49" t="n">
        <x:v>38.5</x:v>
      </x:c>
      <x:c r="D49" t="n">
        <x:v>37.5</x:v>
      </x:c>
      <x:c r="E49" t="n">
        <x:v>36.5</x:v>
      </x:c>
      <x:c r="F49" t="n">
        <x:v>39.4</x:v>
      </x:c>
      <x:c r="G49" t="n">
        <x:v>38.7</x:v>
      </x:c>
      <x:c r="H49" t="n">
        <x:v>38.4</x:v>
      </x:c>
      <x:c r="I49" t="n">
        <x:v>37.8</x:v>
      </x:c>
      <x:c r="J49" t="n">
        <x:v>37.9</x:v>
      </x:c>
      <x:c r="K49" t="n">
        <x:v>37.4</x:v>
      </x:c>
      <x:c r="L49" t="n">
        <x:v>37.1</x:v>
      </x:c>
    </x:row>
    <x:row r="50">
      <x:c r="A50" t="str">
        <x:v>Tanzania</x:v>
      </x:c>
      <x:c r="B50" t="str">
        <x:v>United Republic of Tanzania</x:v>
      </x:c>
      <x:c r="C50" t="n">
        <x:v>12.7</x:v>
      </x:c>
      <x:c r="D50" t="n">
        <x:v>12.4</x:v>
      </x:c>
      <x:c r="E50" t="n">
        <x:v>12.1</x:v>
      </x:c>
      <x:c r="F50" t="n">
        <x:v>11.9</x:v>
      </x:c>
      <x:c r="G50" t="n">
        <x:v>11.5</x:v>
      </x:c>
      <x:c r="H50" t="n">
        <x:v>11.3</x:v>
      </x:c>
      <x:c r="I50" t="n">
        <x:v>11</x:v>
      </x:c>
      <x:c r="J50" t="n">
        <x:v>10.7</x:v>
      </x:c>
      <x:c r="K50" t="n">
        <x:v>11.6</x:v>
      </x:c>
      <x:c r="L50" t="n">
        <x:v>21.6</x:v>
      </x:c>
    </x:row>
    <x:row r="51">
      <x:c r="A51" t="str">
        <x:v>Togo</x:v>
      </x:c>
      <x:c r="B51" t="str">
        <x:v>Togo</x:v>
      </x:c>
      <x:c r="C51" t="n">
        <x:v>8.7</x:v>
      </x:c>
      <x:c r="D51" t="n">
        <x:v>8.5</x:v>
      </x:c>
      <x:c r="E51" t="n">
        <x:v>8.3</x:v>
      </x:c>
      <x:c r="F51" t="n">
        <x:v>8.6</x:v>
      </x:c>
      <x:c r="G51" t="n">
        <x:v>8.7</x:v>
      </x:c>
      <x:c r="H51" t="n">
        <x:v>8.9</x:v>
      </x:c>
      <x:c r="I51" t="n">
        <x:v>14.7</x:v>
      </x:c>
      <x:c r="J51" t="n">
        <x:v>14.6</x:v>
      </x:c>
      <x:c r="K51" t="n">
        <x:v>14.4</x:v>
      </x:c>
      <x:c r="L51" t="n">
        <x:v>14</x:v>
      </x:c>
    </x:row>
    <x:row r="52">
      <x:c r="A52" t="str">
        <x:v>Tunisia</x:v>
      </x:c>
      <x:c r="B52" t="str">
        <x:v>Tunisia</x:v>
      </x:c>
      <x:c r="C52" t="n">
        <x:v>28.9</x:v>
      </x:c>
      <x:c r="D52" t="n">
        <x:v>29.5</x:v>
      </x:c>
      <x:c r="E52" t="n">
        <x:v>30</x:v>
      </x:c>
      <x:c r="F52" t="n">
        <x:v>31.9</x:v>
      </x:c>
      <x:c r="G52" t="n">
        <x:v>32.9</x:v>
      </x:c>
      <x:c r="H52" t="n">
        <x:v>34</x:v>
      </x:c>
      <x:c r="I52" t="n">
        <x:v>33.8</x:v>
      </x:c>
      <x:c r="J52" t="n">
        <x:v>42.1</x:v>
      </x:c>
      <x:c r="K52" t="n">
        <x:v>67.1</x:v>
      </x:c>
      <x:c r="L52" t="n">
        <x:v>88.5</x:v>
      </x:c>
    </x:row>
    <x:row r="53">
      <x:c r="A53" t="str">
        <x:v>Uganda</x:v>
      </x:c>
      <x:c r="B53" t="str">
        <x:v>Uganda</x:v>
      </x:c>
      <x:c r="C53" t="n">
        <x:v>20.4</x:v>
      </x:c>
      <x:c r="D53" t="n">
        <x:v>19.8</x:v>
      </x:c>
      <x:c r="E53" t="n">
        <x:v>20.2</x:v>
      </x:c>
      <x:c r="F53" t="n">
        <x:v>21.5</x:v>
      </x:c>
      <x:c r="G53" t="n">
        <x:v>27.2</x:v>
      </x:c>
      <x:c r="H53" t="n">
        <x:v>26.7</x:v>
      </x:c>
      <x:c r="I53" t="n">
        <x:v>25.9</x:v>
      </x:c>
      <x:c r="J53" t="n">
        <x:v>25.7</x:v>
      </x:c>
      <x:c r="K53" t="n">
        <x:v>33.2</x:v>
      </x:c>
      <x:c r="L53" t="n">
        <x:v>36.3</x:v>
      </x:c>
    </x:row>
    <x:row r="54">
      <x:c r="A54" t="str">
        <x:v>Zambia</x:v>
      </x:c>
      <x:c r="B54" t="str">
        <x:v>Zambia</x:v>
      </x:c>
      <x:c r="C54" t="n">
        <x:v>141</x:v>
      </x:c>
      <x:c r="D54" t="n">
        <x:v>143.8</x:v>
      </x:c>
      <x:c r="E54" t="n">
        <x:v>140.1</x:v>
      </x:c>
      <x:c r="F54" t="n">
        <x:v>136.1</x:v>
      </x:c>
      <x:c r="G54" t="n">
        <x:v>137.1</x:v>
      </x:c>
      <x:c r="H54" t="n">
        <x:v>133.2</x:v>
      </x:c>
      <x:c r="I54" t="n">
        <x:v>145.2</x:v>
      </x:c>
      <x:c r="J54" t="n">
        <x:v>164</x:v>
      </x:c>
      <x:c r="K54" t="n">
        <x:v>161.2</x:v>
      </x:c>
      <x:c r="L54" t="n">
        <x:v>159.7</x:v>
      </x:c>
    </x:row>
    <x:row r="55">
      <x:c r="A55" t="str">
        <x:v>Zimbabwe</x:v>
      </x:c>
      <x:c r="B55" t="str">
        <x:v>Zimbabwe</x:v>
      </x:c>
      <x:c r="C55" t="n">
        <x:v>60.8</x:v>
      </x:c>
      <x:c r="D55" t="n">
        <x:v>60.2</x:v>
      </x:c>
      <x:c r="E55" t="n">
        <x:v>59.8</x:v>
      </x:c>
      <x:c r="F55" t="n">
        <x:v>79.1</x:v>
      </x:c>
      <x:c r="G55" t="n">
        <x:v>78</x:v>
      </x:c>
      <x:c r="H55" t="n">
        <x:v>76.9</x:v>
      </x:c>
      <x:c r="I55" t="n">
        <x:v>76.4</x:v>
      </x:c>
      <x:c r="J55" t="n">
        <x:v>76</x:v>
      </x:c>
      <x:c r="K55" t="n">
        <x:v>75</x:v>
      </x:c>
      <x:c r="L55" t="n">
        <x:v>77.3</x:v>
      </x:c>
    </x:row>
    <x:row r="57">
      <x:c r="A57" s="30" t="str">
        <x:v>Source</x:v>
      </x:c>
      <x:c r="B57" s="12" t="str">
        <x:v>IRENA (2026), Renewable energy statistics 2026; physical PDF page 141; unit: W/person.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8" hidden="0" customWidth="1"/>
    <x:col min="3" max="3" width="28" hidden="0" customWidth="1"/>
    <x:col min="5" max="5" width="30" hidden="0" customWidth="1"/>
    <x:col min="6" max="6" width="5.25" hidden="0" customWidth="1"/>
  </x:cols>
  <x:sheetData>
    <x:row r="1">
      <x:c r="A1" s="16" t="str">
        <x:v>Year</x:v>
      </x:c>
      <x:c r="B1" s="16" t="str">
        <x:v>54-country RE Capacity Total (MW)</x:v>
      </x:c>
      <x:c r="C1" s="16" t="str">
        <x:v>54-country RE Production Total (GWh)</x:v>
      </x:c>
      <x:c r="E1" s="33" t="str">
        <x:v>Sample metric</x:v>
      </x:c>
      <x:c r="F1" s="33" t="str">
        <x:v>Value</x:v>
      </x:c>
    </x:row>
    <x:row r="2">
      <x:c r="A2" t="n">
        <x:v>2016</x:v>
      </x:c>
      <x:c r="B2" t="n">
        <x:v>36678</x:v>
      </x:c>
      <x:c r="C2" t="n">
        <x:v>141829</x:v>
      </x:c>
      <x:c r="E2" t="str">
        <x:v>2016 capacity total</x:v>
      </x:c>
      <x:c r="F2" t="n">
        <x:f>B2</x:f>
        <x:v>36678</x:v>
      </x:c>
    </x:row>
    <x:row r="3">
      <x:c r="A3" t="n">
        <x:v>2017</x:v>
      </x:c>
      <x:c r="B3" t="n">
        <x:v>41060</x:v>
      </x:c>
      <x:c r="C3" t="n">
        <x:v>150465</x:v>
      </x:c>
      <x:c r="E3" t="str">
        <x:v>2025 capacity total</x:v>
      </x:c>
      <x:c r="F3" t="n">
        <x:f>B11</x:f>
        <x:v>81443</x:v>
      </x:c>
    </x:row>
    <x:row r="4">
      <x:c r="A4" t="n">
        <x:v>2018</x:v>
      </x:c>
      <x:c r="B4" t="n">
        <x:v>45310</x:v>
      </x:c>
      <x:c r="C4" t="n">
        <x:v>162572</x:v>
      </x:c>
      <x:c r="E4" t="str">
        <x:v>2016-2025 capacity increase</x:v>
      </x:c>
      <x:c r="F4" t="n">
        <x:f>F3-F2</x:f>
        <x:v>44765</x:v>
      </x:c>
    </x:row>
    <x:row r="5">
      <x:c r="A5" t="n">
        <x:v>2019</x:v>
      </x:c>
      <x:c r="B5" t="n">
        <x:v>47776</x:v>
      </x:c>
      <x:c r="C5" t="n">
        <x:v>174223</x:v>
      </x:c>
      <x:c r="E5" t="str">
        <x:v>2016-2025 sample CAGR</x:v>
      </x:c>
      <x:c r="F5" s="22" t="n">
        <x:f>(F3/F2)^(1/9)-1</x:f>
        <x:v>0.0926831228243794</x:v>
      </x:c>
    </x:row>
    <x:row r="6">
      <x:c r="A6" t="n">
        <x:v>2020</x:v>
      </x:c>
      <x:c r="B6" t="n">
        <x:v>50978</x:v>
      </x:c>
      <x:c r="C6" t="n">
        <x:v>185002</x:v>
      </x:c>
    </x:row>
    <x:row r="7">
      <x:c r="A7" t="n">
        <x:v>2021</x:v>
      </x:c>
      <x:c r="B7" t="n">
        <x:v>53087</x:v>
      </x:c>
      <x:c r="C7" t="n">
        <x:v>196784</x:v>
      </x:c>
    </x:row>
    <x:row r="8">
      <x:c r="A8" t="n">
        <x:v>2022</x:v>
      </x:c>
      <x:c r="B8" t="n">
        <x:v>58275</x:v>
      </x:c>
      <x:c r="C8" t="n">
        <x:v>205450</x:v>
      </x:c>
    </x:row>
    <x:row r="9">
      <x:c r="A9" t="n">
        <x:v>2023</x:v>
      </x:c>
      <x:c r="B9" t="n">
        <x:v>64748</x:v>
      </x:c>
      <x:c r="C9" t="n">
        <x:v>213085</x:v>
      </x:c>
    </x:row>
    <x:row r="10">
      <x:c r="A10" t="n">
        <x:v>2024</x:v>
      </x:c>
      <x:c r="B10" t="n">
        <x:v>70158</x:v>
      </x:c>
      <x:c r="C10" t="n">
        <x:v>224219</x:v>
      </x:c>
    </x:row>
    <x:row r="11">
      <x:c r="A11" t="n">
        <x:v>2025</x:v>
      </x:c>
      <x:c r="B11" t="n">
        <x:v>81443</x:v>
      </x:c>
      <x:c r="C1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26" hidden="0" customWidth="1"/>
    <x:col min="4" max="4" width="35" hidden="0" customWidth="1"/>
  </x:cols>
  <x:sheetData>
    <x:row r="1">
      <x:c r="A1" s="17" t="str">
        <x:v>Variable</x:v>
      </x:c>
      <x:c r="B1" s="17" t="str">
        <x:v>Definition</x:v>
      </x:c>
      <x:c r="C1" s="17" t="str">
        <x:v>Role in final model</x:v>
      </x:c>
      <x:c r="D1" s="17" t="str">
        <x:v>Source table/page</x:v>
      </x:c>
    </x:row>
    <x:row r="2">
      <x:c r="A2" s="12" t="str">
        <x:v>L1</x:v>
      </x:c>
      <x:c r="B2" s="12" t="str">
        <x:v>ln(1 + renewable capacity in 2025)</x:v>
      </x:c>
      <x:c r="C2" s="12" t="str">
        <x:v>Regional leadership</x:v>
      </x:c>
      <x:c r="D2" s="12" t="str">
        <x:v>Total renewable capacity / p.15</x:v>
      </x:c>
    </x:row>
    <x:row r="3">
      <x:c r="A3" s="12" t="str">
        <x:v>L2</x:v>
      </x:c>
      <x:c r="B3" s="12" t="str">
        <x:v>ln(1 + renewable production in 2024)</x:v>
      </x:c>
      <x:c r="C3" s="12" t="str">
        <x:v>Regional leadership</x:v>
      </x:c>
      <x:c r="D3" s="12" t="str">
        <x:v>Total renewable energy production / p.19</x:v>
      </x:c>
    </x:row>
    <x:row r="4">
      <x:c r="A4" s="12" t="str">
        <x:v>L3</x:v>
      </x:c>
      <x:c r="B4" s="12" t="str">
        <x:v>Country's 2016-2025 capacity increase divided by total increase of the 54-country sample</x:v>
      </x:c>
      <x:c r="C4" s="12" t="str">
        <x:v>Regional leadership</x:v>
      </x:c>
      <x:c r="D4" s="12" t="str">
        <x:v>Derived from capacity / p.15</x:v>
      </x:c>
    </x:row>
    <x:row r="5">
      <x:c r="A5" s="12" t="str">
        <x:v>D1</x:v>
      </x:c>
      <x:c r="B5" s="12" t="str">
        <x:v>Renewable share of electricity capacity in 2025 / 100</x:v>
      </x:c>
      <x:c r="C5" s="12" t="str">
        <x:v>System transition depth</x:v>
      </x:c>
      <x:c r="D5" s="12" t="str">
        <x:v>Renewable capacity share / p.112</x:v>
      </x:c>
    </x:row>
    <x:row r="6">
      <x:c r="A6" s="12" t="str">
        <x:v>D2</x:v>
      </x:c>
      <x:c r="B6" s="12" t="str">
        <x:v>Renewable share of electricity production in 2024 / 100</x:v>
      </x:c>
      <x:c r="C6" s="12" t="str">
        <x:v>System transition depth</x:v>
      </x:c>
      <x:c r="D6" s="12" t="str">
        <x:v>Renewable production share / p.116</x:v>
      </x:c>
    </x:row>
    <x:row r="7">
      <x:c r="A7" s="12" t="str">
        <x:v>D3</x:v>
      </x:c>
      <x:c r="B7" s="12" t="str">
        <x:v>ln(1 + renewable watts per capita in 2024)</x:v>
      </x:c>
      <x:c r="C7" s="12" t="str">
        <x:v>System transition depth</x:v>
      </x:c>
      <x:c r="D7" s="12" t="str">
        <x:v>Watts per capita / p.141</x:v>
      </x:c>
    </x:row>
    <x:row r="8">
      <x:c r="A8" s="12" t="str">
        <x:v>M1</x:v>
      </x:c>
      <x:c r="B8" s="12" t="str">
        <x:v>[ln(1+C2025)-ln(1+C2016)] / 9</x:v>
      </x:c>
      <x:c r="C8" s="12" t="str">
        <x:v>Transition momentum</x:v>
      </x:c>
      <x:c r="D8" s="12" t="str">
        <x:v>Derived from capacity / p.15</x:v>
      </x:c>
    </x:row>
    <x:row r="9">
      <x:c r="A9" s="12" t="str">
        <x:v>M2</x:v>
      </x:c>
      <x:c r="B9" s="12" t="str">
        <x:v>[ln(1+C2025)-ln(1+C2021)] / 4</x:v>
      </x:c>
      <x:c r="C9" s="12" t="str">
        <x:v>Transition momentum</x:v>
      </x:c>
      <x:c r="D9" s="12" t="str">
        <x:v>Derived from capacity / p.15</x:v>
      </x:c>
    </x:row>
    <x:row r="10">
      <x:c r="A10" s="12" t="str">
        <x:v>M3</x:v>
      </x:c>
      <x:c r="B10" s="12" t="str">
        <x:v>RE capacity share 2025 - RE capacity share 2016</x:v>
      </x:c>
      <x:c r="C10" s="12" t="str">
        <x:v>Transition momentum</x:v>
      </x:c>
      <x:c r="D10" s="12" t="str">
        <x:v>Derived from p.112</x:v>
      </x:c>
    </x:row>
    <x:row r="11">
      <x:c r="A11" s="12" t="str">
        <x:v>M4</x:v>
      </x:c>
      <x:c r="B11" s="12" t="str">
        <x:v>RE production share 2024 - RE production share 2016</x:v>
      </x:c>
      <x:c r="C11" s="12" t="str">
        <x:v>Transition momentum</x:v>
      </x:c>
      <x:c r="D11" s="12" t="str">
        <x:v>Derived from p.116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11" t="str">
        <x:v>Recommended final pipeline</x:v>
      </x:c>
      <x:c r="B1" s="12" t="str">
        <x:v>Data cleaning (54 countries) → L-D-M operationalisation → CRITIC weights → TOPSIS scores for L,D,M → K-means (K=3) → compare with original Table 2 using ARI/NMI/Kappa.</x:v>
      </x:c>
    </x:row>
    <x:row r="2">
      <x:c r="A2" s="11" t="str">
        <x:v>Not required</x:v>
      </x:c>
      <x:c r="B2" s="12" t="str">
        <x:v>Entropy-weight TOPSIS, a second clustering model, and Bootstrap confidence probabilities are not necessary for the main specification.</x:v>
      </x:c>
    </x:row>
    <x:row r="3">
      <x:c r="A3" s="11" t="str">
        <x:v>Descriptive statistics</x:v>
      </x:c>
      <x:c r="B3" s="12" t="str">
        <x:v>CAGR, absolute increase and capacity rank may be reported as descriptive facts, but they do not determine K-means classes unless explicitly included as model features.</x:v>
      </x:c>
    </x:row>
    <x:row r="4">
      <x:c r="A4" s="11" t="str">
        <x:v>Why raw CAGR is not a core feature</x:v>
      </x:c>
      <x:c r="B4" s="12" t="str">
        <x:v>Raw CAGR can overstate transition momentum in countries with tiny starting capacity. M1/M2 use log growth to reduce this small-base problem.</x:v>
      </x:c>
    </x:row>
    <x:row r="5">
      <x:c r="A5" s="11" t="str">
        <x:v>Contribution ratio</x:v>
      </x:c>
      <x:c r="B5" s="12" t="str">
        <x:v>The 54-country increment contribution is retained as L3 because it directly operationalises the paper's 'regional leadership/spillover' idea.</x:v>
      </x:c>
    </x:row>
    <x:row r="6">
      <x:c r="A6" s="11" t="str">
        <x:v>Validation distinction</x:v>
      </x:c>
      <x:c r="B6" s="12" t="str">
        <x:v>CRITIC–TOPSIS + K-means produces the quantitative classes. ARI/NMI/Kappa do not create classes; they only quantify agreement with the original Table 2.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44" t="str">
        <x:v>IRENA Label</x:v>
      </x:c>
      <x:c r="B1" s="44" t="str">
        <x:v>Country EN</x:v>
      </x:c>
      <x:c r="C1" s="44" t="str">
        <x:v>Country CN</x:v>
      </x:c>
      <x:c r="D1" s="44" t="str">
        <x:v>Access 2018 (%)</x:v>
      </x:c>
      <x:c r="E1" s="44" t="str">
        <x:v>Access 2019 (%)</x:v>
      </x:c>
      <x:c r="F1" s="44" t="str">
        <x:v>Access 2020 (%)</x:v>
      </x:c>
      <x:c r="G1" s="44" t="str">
        <x:v>Access 2021 (%)</x:v>
      </x:c>
      <x:c r="H1" s="44" t="str">
        <x:v>Access 2022 (%)</x:v>
      </x:c>
      <x:c r="I1" s="44" t="str">
        <x:v>Access 2023 (%)</x:v>
      </x:c>
      <x:c r="J1" s="44" t="str">
        <x:v>Access Change 2018-2023 (pp)</x:v>
      </x:c>
      <x:c r="K1" s="44" t="str">
        <x:v>No-access Population 2023 (million)</x:v>
      </x:c>
      <x:c r="L1" s="44" t="str">
        <x:v>Rural Access 2023 (%)</x:v>
      </x:c>
      <x:c r="M1" s="44" t="str">
        <x:v>Urban Access 2023 (%)</x:v>
      </x:c>
      <x:c r="N1" s="44" t="str">
        <x:v>Urban-Rural Gap 2023 (pp)</x:v>
      </x:c>
      <x:c r="O1" s="44" t="str">
        <x:v>Final Electricity Consumption per Capita 2023 (kWh)</x:v>
      </x:c>
      <x:c r="P1" s="44" t="str">
        <x:v>Electricity Generation per Capita 2023 (kWh)</x:v>
      </x:c>
    </x:row>
    <x:row r="2">
      <x:c r="A2" t="str">
        <x:v>Algeria</x:v>
      </x:c>
      <x:c r="B2" t="str">
        <x:v>Algeria</x:v>
      </x:c>
      <x:c r="C2" t="str">
        <x:v>阿尔及利亚</x:v>
      </x:c>
      <x:c r="D2" t="n">
        <x:v>99.64</x:v>
      </x:c>
      <x:c r="E2" t="n">
        <x:v>99.5</x:v>
      </x:c>
      <x:c r="F2" t="n">
        <x:v>99.72</x:v>
      </x:c>
      <x:c r="G2" t="n">
        <x:v>99.79</x:v>
      </x:c>
      <x:c r="H2" t="n">
        <x:v>99.84</x:v>
      </x:c>
      <x:c r="I2" t="n">
        <x:v>99.74</x:v>
      </x:c>
      <x:c r="J2" t="n">
        <x:v>0.09999999999999432</x:v>
      </x:c>
      <x:c r="K2" t="n">
        <x:v>0.12</x:v>
      </x:c>
      <x:c r="L2" t="n">
        <x:v>98.94</x:v>
      </x:c>
      <x:c r="M2" t="n">
        <x:v>100</x:v>
      </x:c>
      <x:c r="N2" t="n">
        <x:v>1.0600000000000023</x:v>
      </x:c>
      <x:c r="O2" t="n">
        <x:v>1580.05</x:v>
      </x:c>
      <x:c r="P2" t="n">
        <x:v>1992</x:v>
      </x:c>
    </x:row>
    <x:row r="3">
      <x:c r="A3" t="str">
        <x:v>Angola</x:v>
      </x:c>
      <x:c r="B3" t="str">
        <x:v>Angola</x:v>
      </x:c>
      <x:c r="C3" t="str">
        <x:v>安哥拉</x:v>
      </x:c>
      <x:c r="D3" t="n">
        <x:v>45.29</x:v>
      </x:c>
      <x:c r="E3" t="n">
        <x:v>45.63</x:v>
      </x:c>
      <x:c r="F3" t="n">
        <x:v>46.96</x:v>
      </x:c>
      <x:c r="G3" t="n">
        <x:v>48.22</x:v>
      </x:c>
      <x:c r="H3" t="n">
        <x:v>48.47</x:v>
      </x:c>
      <x:c r="I3" t="n">
        <x:v>51.08</x:v>
      </x:c>
      <x:c r="J3" t="n">
        <x:v>5.789999999999999</x:v>
      </x:c>
      <x:c r="K3" t="n">
        <x:v>17.66</x:v>
      </x:c>
      <x:c r="L3" t="n">
        <x:v>2.78</x:v>
      </x:c>
      <x:c r="M3" t="n">
        <x:v>73.1</x:v>
      </x:c>
      <x:c r="N3" t="n">
        <x:v>70.32</x:v>
      </x:c>
      <x:c r="O3" t="n">
        <x:v>318.11</x:v>
      </x:c>
      <x:c r="P3" t="n">
        <x:v>438.4</x:v>
      </x:c>
    </x:row>
    <x:row r="4">
      <x:c r="A4" t="str">
        <x:v>Benin</x:v>
      </x:c>
      <x:c r="B4" t="str">
        <x:v>Benin</x:v>
      </x:c>
      <x:c r="C4" t="str">
        <x:v>贝宁</x:v>
      </x:c>
      <x:c r="D4" t="n">
        <x:v>39.01</x:v>
      </x:c>
      <x:c r="E4" t="n">
        <x:v>40</x:v>
      </x:c>
      <x:c r="F4" t="n">
        <x:v>40.99</x:v>
      </x:c>
      <x:c r="G4" t="n">
        <x:v>41.97</x:v>
      </x:c>
      <x:c r="H4" t="n">
        <x:v>56.5</x:v>
      </x:c>
      <x:c r="I4" t="n">
        <x:v>57</x:v>
      </x:c>
      <x:c r="J4" t="n">
        <x:v>17.990000000000002</x:v>
      </x:c>
      <x:c r="K4" t="n">
        <x:v>5.64</x:v>
      </x:c>
      <x:c r="L4" t="n">
        <x:v>43.67</x:v>
      </x:c>
      <x:c r="M4" t="n">
        <x:v>70.28</x:v>
      </x:c>
      <x:c r="N4" t="n">
        <x:v>26.61</x:v>
      </x:c>
      <x:c r="O4" t="n">
        <x:v>118.45</x:v>
      </x:c>
      <x:c r="P4" t="n">
        <x:v>46.33</x:v>
      </x:c>
    </x:row>
    <x:row r="5">
      <x:c r="A5" t="str">
        <x:v>Botswana</x:v>
      </x:c>
      <x:c r="B5" t="str">
        <x:v>Botswana</x:v>
      </x:c>
      <x:c r="C5" t="str">
        <x:v>博茨瓦纳</x:v>
      </x:c>
      <x:c r="D5" t="n">
        <x:v>68.25</x:v>
      </x:c>
      <x:c r="E5" t="n">
        <x:v>70.1</x:v>
      </x:c>
      <x:c r="F5" t="n">
        <x:v>71.83</x:v>
      </x:c>
      <x:c r="G5" t="n">
        <x:v>73.73</x:v>
      </x:c>
      <x:c r="H5" t="n">
        <x:v>75.94</x:v>
      </x:c>
      <x:c r="I5" t="n">
        <x:v>76.05</x:v>
      </x:c>
      <x:c r="J5" t="n">
        <x:v>7.799999999999997</x:v>
      </x:c>
      <x:c r="K5" t="n">
        <x:v>0.61</x:v>
      </x:c>
      <x:c r="L5" t="n">
        <x:v>17.9</x:v>
      </x:c>
      <x:c r="M5" t="n">
        <x:v>97.7</x:v>
      </x:c>
      <x:c r="N5" t="n">
        <x:v>79.80000000000001</x:v>
      </x:c>
      <x:c r="O5" t="n">
        <x:v>1405.17</x:v>
      </x:c>
      <x:c r="P5" t="n">
        <x:v>1278.8</x:v>
      </x:c>
    </x:row>
    <x:row r="6">
      <x:c r="A6" t="str">
        <x:v>Burkina Faso</x:v>
      </x:c>
      <x:c r="B6" t="str">
        <x:v>Burkina Faso</x:v>
      </x:c>
      <x:c r="C6" t="str">
        <x:v>布基纳法索</x:v>
      </x:c>
      <x:c r="D6" t="n">
        <x:v>14.4</x:v>
      </x:c>
      <x:c r="E6" t="n">
        <x:v>17.6</x:v>
      </x:c>
      <x:c r="F6" t="n">
        <x:v>18.47</x:v>
      </x:c>
      <x:c r="G6" t="n">
        <x:v>18.95</x:v>
      </x:c>
      <x:c r="H6" t="n">
        <x:v>18.99</x:v>
      </x:c>
      <x:c r="I6" t="n">
        <x:v>21.72</x:v>
      </x:c>
      <x:c r="J6" t="n">
        <x:v>7.3199999999999985</x:v>
      </x:c>
      <x:c r="K6" t="n">
        <x:v>17.79</x:v>
      </x:c>
      <x:c r="L6" t="n">
        <x:v>2.01</x:v>
      </x:c>
      <x:c r="M6" t="n">
        <x:v>62.61</x:v>
      </x:c>
      <x:c r="N6" t="n">
        <x:v>60.6</x:v>
      </x:c>
      <x:c r="O6" t="n">
        <x:v>139.67</x:v>
      </x:c>
      <x:c r="P6" t="n">
        <x:v>51.07</x:v>
      </x:c>
    </x:row>
    <x:row r="7">
      <x:c r="A7" t="str">
        <x:v>Burundi</x:v>
      </x:c>
      <x:c r="B7" t="str">
        <x:v>Burundi</x:v>
      </x:c>
      <x:c r="C7" t="str">
        <x:v>布隆迪</x:v>
      </x:c>
      <x:c r="D7" t="n">
        <x:v>9.51</x:v>
      </x:c>
      <x:c r="E7" t="n">
        <x:v>9.84</x:v>
      </x:c>
      <x:c r="F7" t="n">
        <x:v>9.1</x:v>
      </x:c>
      <x:c r="G7" t="n">
        <x:v>10.23</x:v>
      </x:c>
      <x:c r="H7" t="n">
        <x:v>10.28</x:v>
      </x:c>
      <x:c r="I7" t="n">
        <x:v>11.59</x:v>
      </x:c>
      <x:c r="J7" t="n">
        <x:v>2.08</x:v>
      </x:c>
      <x:c r="K7" t="n">
        <x:v>11.54</x:v>
      </x:c>
      <x:c r="L7" t="n">
        <x:v>2.31</x:v>
      </x:c>
      <x:c r="M7" t="n">
        <x:v>65.05</x:v>
      </x:c>
      <x:c r="N7" t="n">
        <x:v>62.739999999999995</x:v>
      </x:c>
      <x:c r="O7" t="n">
        <x:v>25.17</x:v>
      </x:c>
      <x:c r="P7" t="n">
        <x:v>23.13</x:v>
      </x:c>
    </x:row>
    <x:row r="8">
      <x:c r="A8" t="str">
        <x:v>Cabo Verde</x:v>
      </x:c>
      <x:c r="B8" t="str">
        <x:v>Cabo Verde</x:v>
      </x:c>
      <x:c r="C8" t="str">
        <x:v>佛得角</x:v>
      </x:c>
      <x:c r="D8" t="n">
        <x:v>90.2</x:v>
      </x:c>
      <x:c r="E8" t="n">
        <x:v>91.4</x:v>
      </x:c>
      <x:c r="F8" t="n">
        <x:v>93.75</x:v>
      </x:c>
      <x:c r="G8" t="n">
        <x:v>95.52</x:v>
      </x:c>
      <x:c r="H8" t="n">
        <x:v>97.13</x:v>
      </x:c>
      <x:c r="I8" t="n">
        <x:v>98.6</x:v>
      </x:c>
      <x:c r="J8" t="n">
        <x:v>8.399999999999991</x:v>
      </x:c>
      <x:c r="K8" t="n">
        <x:v>0.01</x:v>
      </x:c>
      <x:c r="L8" t="n">
        <x:v>100</x:v>
      </x:c>
      <x:c r="M8" t="n">
        <x:v>97.94</x:v>
      </x:c>
      <x:c r="N8" t="n">
        <x:v>-2.0600000000000023</x:v>
      </x:c>
      <x:c r="O8" t="n">
        <x:v>804.95</x:v>
      </x:c>
      <x:c r="P8" t="n">
        <x:v>1174.3</x:v>
      </x:c>
    </x:row>
    <x:row r="9">
      <x:c r="A9" t="str">
        <x:v>Cameroon</x:v>
      </x:c>
      <x:c r="B9" t="str">
        <x:v>Cameroon</x:v>
      </x:c>
      <x:c r="C9" t="str">
        <x:v>喀麦隆</x:v>
      </x:c>
      <x:c r="D9" t="n">
        <x:v>62.2</x:v>
      </x:c>
      <x:c r="E9" t="n">
        <x:v>63.18</x:v>
      </x:c>
      <x:c r="F9" t="n">
        <x:v>64.31</x:v>
      </x:c>
      <x:c r="G9" t="n">
        <x:v>65.45</x:v>
      </x:c>
      <x:c r="H9" t="n">
        <x:v>71</x:v>
      </x:c>
      <x:c r="I9" t="n">
        <x:v>72</x:v>
      </x:c>
      <x:c r="J9" t="n">
        <x:v>9.799999999999997</x:v>
      </x:c>
      <x:c r="K9" t="n">
        <x:v>7.83</x:v>
      </x:c>
      <x:c r="L9" t="n">
        <x:v>37.3</x:v>
      </x:c>
      <x:c r="M9" t="n">
        <x:v>95.8</x:v>
      </x:c>
      <x:c r="N9" t="n">
        <x:v>58.5</x:v>
      </x:c>
      <x:c r="O9" t="n">
        <x:v>362.28</x:v>
      </x:c>
      <x:c r="P9" t="n">
        <x:v>302.26</x:v>
      </x:c>
    </x:row>
    <x:row r="10">
      <x:c r="A10" t="str">
        <x:v>Cent Afr Rep</x:v>
      </x:c>
      <x:c r="B10" t="str">
        <x:v>Central African Republic</x:v>
      </x:c>
      <x:c r="C10" t="str">
        <x:v>中非共和国</x:v>
      </x:c>
      <x:c r="D10" t="n">
        <x:v>14.64</x:v>
      </x:c>
      <x:c r="E10" t="n">
        <x:v>14.3</x:v>
      </x:c>
      <x:c r="F10" t="n">
        <x:v>15.41</x:v>
      </x:c>
      <x:c r="G10" t="n">
        <x:v>15.68</x:v>
      </x:c>
      <x:c r="H10" t="n">
        <x:v>15.7</x:v>
      </x:c>
      <x:c r="I10" t="n">
        <x:v>17.57</x:v>
      </x:c>
      <x:c r="J10" t="n">
        <x:v>2.9299999999999997</x:v>
      </x:c>
      <x:c r="K10" t="n">
        <x:v>4.33</x:v>
      </x:c>
      <x:c r="L10" t="n">
        <x:v>2.25</x:v>
      </x:c>
      <x:c r="M10" t="n">
        <x:v>37.37</x:v>
      </x:c>
      <x:c r="N10" t="n">
        <x:v>35.12</x:v>
      </x:c>
      <x:c r="O10" t="n">
        <x:v>33.08</x:v>
      </x:c>
      <x:c r="P10" t="n">
        <x:v>34.94</x:v>
      </x:c>
    </x:row>
    <x:row r="11">
      <x:c r="A11" t="str">
        <x:v>Chad</x:v>
      </x:c>
      <x:c r="B11" t="str">
        <x:v>Chad</x:v>
      </x:c>
      <x:c r="C11" t="str">
        <x:v>乍得</x:v>
      </x:c>
      <x:c r="D11" t="n">
        <x:v>10.06</x:v>
      </x:c>
      <x:c r="E11" t="n">
        <x:v>8.4</x:v>
      </x:c>
      <x:c r="F11" t="n">
        <x:v>10.87</x:v>
      </x:c>
      <x:c r="G11" t="n">
        <x:v>11.27</x:v>
      </x:c>
      <x:c r="H11" t="n">
        <x:v>11.71</x:v>
      </x:c>
      <x:c r="I11" t="n">
        <x:v>12.02</x:v>
      </x:c>
      <x:c r="J11" t="n">
        <x:v>1.959999999999999</x:v>
      </x:c>
      <x:c r="K11" t="n">
        <x:v>15.62</x:v>
      </x:c>
      <x:c r="L11" t="n">
        <x:v>0.4</x:v>
      </x:c>
      <x:c r="M11" t="n">
        <x:v>48.11</x:v>
      </x:c>
      <x:c r="N11" t="n">
        <x:v>47.71</x:v>
      </x:c>
      <x:c r="O11" t="n">
        <x:v>15.65</x:v>
      </x:c>
      <x:c r="P11" t="n">
        <x:v>22.63</x:v>
      </x:c>
    </x:row>
    <x:row r="12">
      <x:c r="A12" t="str">
        <x:v>Comoros</x:v>
      </x:c>
      <x:c r="B12" t="str">
        <x:v>Comoros</x:v>
      </x:c>
      <x:c r="C12" t="str">
        <x:v>科摩罗</x:v>
      </x:c>
      <x:c r="D12" t="n">
        <x:v>81.02</x:v>
      </x:c>
      <x:c r="E12" t="n">
        <x:v>83.33</x:v>
      </x:c>
      <x:c r="F12" t="n">
        <x:v>85.64</x:v>
      </x:c>
      <x:c r="G12" t="n">
        <x:v>87.94</x:v>
      </x:c>
      <x:c r="H12" t="n">
        <x:v>89.91</x:v>
      </x:c>
      <x:c r="I12" t="n">
        <x:v>89.76</x:v>
      </x:c>
      <x:c r="J12" t="n">
        <x:v>8.740000000000009</x:v>
      </x:c>
      <x:c r="K12" t="n">
        <x:v>0.09</x:v>
      </x:c>
      <x:c r="L12" t="n">
        <x:v>86.07</x:v>
      </x:c>
      <x:c r="M12" t="n">
        <x:v>98.32</x:v>
      </x:c>
      <x:c r="N12" t="n">
        <x:v>12.25</x:v>
      </x:c>
      <x:c r="O12" t="n">
        <x:v>107.5</x:v>
      </x:c>
      <x:c r="P12" t="n">
        <x:v>118.38</x:v>
      </x:c>
    </x:row>
    <x:row r="13">
      <x:c r="A13" t="str">
        <x:v>Congo DR</x:v>
      </x:c>
      <x:c r="B13" t="str">
        <x:v>Democratic Republic of the Congo</x:v>
      </x:c>
      <x:c r="C13" t="str">
        <x:v>刚果（金）</x:v>
      </x:c>
      <x:c r="D13" t="n">
        <x:v>18.68</x:v>
      </x:c>
      <x:c r="E13" t="n">
        <x:v>19.1</x:v>
      </x:c>
      <x:c r="F13" t="n">
        <x:v>20.07</x:v>
      </x:c>
      <x:c r="G13" t="n">
        <x:v>20.77</x:v>
      </x:c>
      <x:c r="H13" t="n">
        <x:v>21.49</x:v>
      </x:c>
      <x:c r="I13" t="n">
        <x:v>22.13</x:v>
      </x:c>
      <x:c r="J13" t="n">
        <x:v>3.4499999999999993</x:v>
      </x:c>
      <x:c r="K13" t="n">
        <x:v>76.44</x:v>
      </x:c>
      <x:c r="L13" t="n">
        <x:v>1.12</x:v>
      </x:c>
      <x:c r="M13" t="n">
        <x:v>45.4</x:v>
      </x:c>
      <x:c r="N13" t="n">
        <x:v>44.28</x:v>
      </x:c>
      <x:c r="O13" t="n">
        <x:v>121.41</x:v>
      </x:c>
      <x:c r="P13" t="n">
        <x:v>153.17</x:v>
      </x:c>
    </x:row>
    <x:row r="14">
      <x:c r="A14" t="str">
        <x:v>Congo Rep</x:v>
      </x:c>
      <x:c r="B14" t="str">
        <x:v>Republic of the Congo</x:v>
      </x:c>
      <x:c r="C14" t="str">
        <x:v>刚果（布）</x:v>
      </x:c>
      <x:c r="D14" t="n">
        <x:v>47.04</x:v>
      </x:c>
      <x:c r="E14" t="n">
        <x:v>47.73</x:v>
      </x:c>
      <x:c r="F14" t="n">
        <x:v>48.68</x:v>
      </x:c>
      <x:c r="G14" t="n">
        <x:v>49.66</x:v>
      </x:c>
      <x:c r="H14" t="n">
        <x:v>50.56</x:v>
      </x:c>
      <x:c r="I14" t="n">
        <x:v>51.35</x:v>
      </x:c>
      <x:c r="J14" t="n">
        <x:v>4.310000000000002</x:v>
      </x:c>
      <x:c r="K14" t="n">
        <x:v>2.99</x:v>
      </x:c>
      <x:c r="L14" t="n">
        <x:v>10.81</x:v>
      </x:c>
      <x:c r="M14" t="n">
        <x:v>69.4</x:v>
      </x:c>
      <x:c r="N14" t="n">
        <x:v>58.59</x:v>
      </x:c>
      <x:c r="O14" t="n">
        <x:v>237.88</x:v>
      </x:c>
      <x:c r="P14" t="n">
        <x:v>476.59</x:v>
      </x:c>
    </x:row>
    <x:row r="15">
      <x:c r="A15" t="str">
        <x:v>Cote d Ivoire</x:v>
      </x:c>
      <x:c r="B15" t="str">
        <x:v>Côte d'Ivoire</x:v>
      </x:c>
      <x:c r="C15" t="str">
        <x:v>科特迪瓦</x:v>
      </x:c>
      <x:c r="D15" t="n">
        <x:v>67.15</x:v>
      </x:c>
      <x:c r="E15" t="n">
        <x:v>68.57</x:v>
      </x:c>
      <x:c r="F15" t="n">
        <x:v>69.88</x:v>
      </x:c>
      <x:c r="G15" t="n">
        <x:v>71.14</x:v>
      </x:c>
      <x:c r="H15" t="n">
        <x:v>70.43</x:v>
      </x:c>
      <x:c r="I15" t="n">
        <x:v>72.37</x:v>
      </x:c>
      <x:c r="J15" t="n">
        <x:v>5.219999999999999</x:v>
      </x:c>
      <x:c r="K15" t="n">
        <x:v>7.79</x:v>
      </x:c>
      <x:c r="L15" t="n">
        <x:v>47.99</x:v>
      </x:c>
      <x:c r="M15" t="n">
        <x:v>93.87</x:v>
      </x:c>
      <x:c r="N15" t="n">
        <x:v>45.88</x:v>
      </x:c>
      <x:c r="O15" t="n">
        <x:v>380.96</x:v>
      </x:c>
      <x:c r="P15" t="n">
        <x:v>479.53</x:v>
      </x:c>
    </x:row>
    <x:row r="16">
      <x:c r="A16" t="str">
        <x:v>Djibouti</x:v>
      </x:c>
      <x:c r="B16" t="str">
        <x:v>Djibouti</x:v>
      </x:c>
      <x:c r="C16" t="str">
        <x:v>吉布提</x:v>
      </x:c>
      <x:c r="D16" t="n">
        <x:v>62.41</x:v>
      </x:c>
      <x:c r="E16" t="n">
        <x:v>64.7</x:v>
      </x:c>
      <x:c r="F16" t="n">
        <x:v>64.5</x:v>
      </x:c>
      <x:c r="G16" t="n">
        <x:v>65.44</x:v>
      </x:c>
      <x:c r="H16" t="n">
        <x:v>65.22</x:v>
      </x:c>
      <x:c r="I16" t="n">
        <x:v>65.22</x:v>
      </x:c>
      <x:c r="J16" t="n">
        <x:v>2.8100000000000023</x:v>
      </x:c>
      <x:c r="K16" t="n">
        <x:v>0.36</x:v>
      </x:c>
      <x:c r="L16" t="n">
        <x:v>30.97</x:v>
      </x:c>
      <x:c r="M16" t="n">
        <x:v>74.58</x:v>
      </x:c>
      <x:c r="N16" t="n">
        <x:v>43.61</x:v>
      </x:c>
      <x:c r="O16" t="n">
        <x:v>703.18</x:v>
      </x:c>
      <x:c r="P16" t="n">
        <x:v>274.71</x:v>
      </x:c>
    </x:row>
    <x:row r="17">
      <x:c r="A17" t="str">
        <x:v>Egypt</x:v>
      </x:c>
      <x:c r="B17" t="str">
        <x:v>Egypt</x:v>
      </x:c>
      <x:c r="C17" t="str">
        <x:v>埃及</x:v>
      </x:c>
      <x:c r="D17" t="n">
        <x:v>100</x:v>
      </x:c>
      <x:c r="E17" t="n">
        <x:v>100</x:v>
      </x:c>
      <x:c r="F17" t="n">
        <x:v>100</x:v>
      </x:c>
      <x:c r="G17" t="n">
        <x:v>100</x:v>
      </x:c>
      <x:c r="H17" t="n">
        <x:v>100</x:v>
      </x:c>
      <x:c r="I17" t="n">
        <x:v>100</x:v>
      </x:c>
      <x:c r="J17" t="n">
        <x:v>0</x:v>
      </x:c>
      <x:c r="K17" t="n">
        <x:v>0</x:v>
      </x:c>
      <x:c r="L17" t="n">
        <x:v>100</x:v>
      </x:c>
      <x:c r="M17" t="n">
        <x:v>100</x:v>
      </x:c>
      <x:c r="N17" t="n">
        <x:v>0</x:v>
      </x:c>
      <x:c r="O17" t="n">
        <x:v>1477.48</x:v>
      </x:c>
      <x:c r="P17" t="n">
        <x:v>2118.88</x:v>
      </x:c>
    </x:row>
    <x:row r="18">
      <x:c r="A18" t="str">
        <x:v>Eq Guinea</x:v>
      </x:c>
      <x:c r="B18" t="str">
        <x:v>Equatorial Guinea</x:v>
      </x:c>
      <x:c r="C18" t="str">
        <x:v>赤道几内亚</x:v>
      </x:c>
      <x:c r="D18" t="n">
        <x:v>66.46</x:v>
      </x:c>
      <x:c r="E18" t="n">
        <x:v>66.57</x:v>
      </x:c>
      <x:c r="F18" t="n">
        <x:v>66.68</x:v>
      </x:c>
      <x:c r="G18" t="n">
        <x:v>66.79</x:v>
      </x:c>
      <x:c r="H18" t="n">
        <x:v>66.98</x:v>
      </x:c>
      <x:c r="I18" t="n">
        <x:v>66.86</x:v>
      </x:c>
      <x:c r="J18" t="n">
        <x:v>0.4000000000000057</x:v>
      </x:c>
      <x:c r="K18" t="n">
        <x:v>0.51</x:v>
      </x:c>
      <x:c r="L18" t="n">
        <x:v>2.36</x:v>
      </x:c>
      <x:c r="M18" t="n">
        <x:v>89</x:v>
      </x:c>
      <x:c r="N18" t="n">
        <x:v>86.64</x:v>
      </x:c>
      <x:c r="O18" t="n">
        <x:v>18796.29</x:v>
      </x:c>
      <x:c r="P18" t="n">
        <x:v>1023.04</x:v>
      </x:c>
    </x:row>
    <x:row r="19">
      <x:c r="A19" t="str">
        <x:v>Eritrea</x:v>
      </x:c>
      <x:c r="B19" t="str">
        <x:v>Eritrea</x:v>
      </x:c>
      <x:c r="C19" t="str">
        <x:v>厄立特里亚</x:v>
      </x:c>
      <x:c r="D19" t="n">
        <x:v>49.15</x:v>
      </x:c>
      <x:c r="E19" t="n">
        <x:v>50.27</x:v>
      </x:c>
      <x:c r="F19" t="n">
        <x:v>51.39</x:v>
      </x:c>
      <x:c r="G19" t="n">
        <x:v>52.51</x:v>
      </x:c>
      <x:c r="H19" t="n">
        <x:v>53.42</x:v>
      </x:c>
      <x:c r="I19" t="n">
        <x:v>54.4</x:v>
      </x:c>
      <x:c r="J19" t="n">
        <x:v>5.25</x:v>
      </x:c>
      <x:c r="K19" t="n">
        <x:v>2.65</x:v>
      </x:c>
      <x:c r="L19" t="n">
        <x:v>37.07</x:v>
      </x:c>
      <x:c r="M19" t="n">
        <x:v>77.11</x:v>
      </x:c>
      <x:c r="N19" t="n">
        <x:v>40.04</x:v>
      </x:c>
      <x:c r="O19" t="n">
        <x:v>60.3</x:v>
      </x:c>
      <x:c r="P19" t="n">
        <x:v>72.57</x:v>
      </x:c>
    </x:row>
    <x:row r="20">
      <x:c r="A20" t="str">
        <x:v>Eswatini</x:v>
      </x:c>
      <x:c r="B20" t="str">
        <x:v>Eswatini</x:v>
      </x:c>
      <x:c r="C20" t="str">
        <x:v>斯威士兰</x:v>
      </x:c>
      <x:c r="D20" t="n">
        <x:v>73.96</x:v>
      </x:c>
      <x:c r="E20" t="n">
        <x:v>77.03</x:v>
      </x:c>
      <x:c r="F20" t="n">
        <x:v>79.99</x:v>
      </x:c>
      <x:c r="G20" t="n">
        <x:v>82.9</x:v>
      </x:c>
      <x:c r="H20" t="n">
        <x:v>82.28</x:v>
      </x:c>
      <x:c r="I20" t="n">
        <x:v>86.38</x:v>
      </x:c>
      <x:c r="J20" t="n">
        <x:v>12.420000000000002</x:v>
      </x:c>
      <x:c r="K20" t="n">
        <x:v>0.21</x:v>
      </x:c>
      <x:c r="L20" t="n">
        <x:v>84.86</x:v>
      </x:c>
      <x:c r="M20" t="n">
        <x:v>91.01</x:v>
      </x:c>
      <x:c r="N20" t="n">
        <x:v>6.150000000000006</x:v>
      </x:c>
      <x:c r="O20" t="n">
        <x:v>963.3</x:v>
      </x:c>
      <x:c r="P20" t="n">
        <x:v>451.79</x:v>
      </x:c>
    </x:row>
    <x:row r="21">
      <x:c r="A21" t="str">
        <x:v>Ethiopia</x:v>
      </x:c>
      <x:c r="B21" t="str">
        <x:v>Ethiopia</x:v>
      </x:c>
      <x:c r="C21" t="str">
        <x:v>埃塞俄比亚</x:v>
      </x:c>
      <x:c r="D21" t="n">
        <x:v>44.84</x:v>
      </x:c>
      <x:c r="E21" t="n">
        <x:v>48.05</x:v>
      </x:c>
      <x:c r="F21" t="n">
        <x:v>51.14</x:v>
      </x:c>
      <x:c r="G21" t="n">
        <x:v>54.19</x:v>
      </x:c>
      <x:c r="H21" t="n">
        <x:v>55.39</x:v>
      </x:c>
      <x:c r="I21" t="n">
        <x:v>55.42</x:v>
      </x:c>
      <x:c r="J21" t="n">
        <x:v>10.579999999999998</x:v>
      </x:c>
      <x:c r="K21" t="n">
        <x:v>53.82</x:v>
      </x:c>
      <x:c r="L21" t="n">
        <x:v>43.58</x:v>
      </x:c>
      <x:c r="M21" t="n">
        <x:v>94.74</x:v>
      </x:c>
      <x:c r="N21" t="n">
        <x:v>51.16</x:v>
      </x:c>
      <x:c r="O21" t="n">
        <x:v>97.31</x:v>
      </x:c>
      <x:c r="P21" t="n">
        <x:v>146.68</x:v>
      </x:c>
    </x:row>
    <x:row r="22">
      <x:c r="A22" t="str">
        <x:v>Gabon</x:v>
      </x:c>
      <x:c r="B22" t="str">
        <x:v>Gabon</x:v>
      </x:c>
      <x:c r="C22" t="str">
        <x:v>加蓬</x:v>
      </x:c>
      <x:c r="D22" t="n">
        <x:v>89.57</x:v>
      </x:c>
      <x:c r="E22" t="n">
        <x:v>90.32</x:v>
      </x:c>
      <x:c r="F22" t="n">
        <x:v>91.06</x:v>
      </x:c>
      <x:c r="G22" t="n">
        <x:v>91.81</x:v>
      </x:c>
      <x:c r="H22" t="n">
        <x:v>93.49</x:v>
      </x:c>
      <x:c r="I22" t="n">
        <x:v>94.12</x:v>
      </x:c>
      <x:c r="J22" t="n">
        <x:v>4.550000000000011</x:v>
      </x:c>
      <x:c r="K22" t="n">
        <x:v>0.13</x:v>
      </x:c>
      <x:c r="L22" t="n">
        <x:v>42.99</x:v>
      </x:c>
      <x:c r="M22" t="n">
        <x:v>99.15</x:v>
      </x:c>
      <x:c r="N22" t="n">
        <x:v>56.160000000000004</x:v>
      </x:c>
      <x:c r="O22" t="n">
        <x:v>968.8</x:v>
      </x:c>
      <x:c r="P22" t="n">
        <x:v>1216.28</x:v>
      </x:c>
    </x:row>
    <x:row r="23">
      <x:c r="A23" t="str">
        <x:v>Gambia</x:v>
      </x:c>
      <x:c r="B23" t="str">
        <x:v>Gambia</x:v>
      </x:c>
      <x:c r="C23" t="str">
        <x:v>冈比亚</x:v>
      </x:c>
      <x:c r="D23" t="n">
        <x:v>60.3</x:v>
      </x:c>
      <x:c r="E23" t="n">
        <x:v>62.1</x:v>
      </x:c>
      <x:c r="F23" t="n">
        <x:v>62.23</x:v>
      </x:c>
      <x:c r="G23" t="n">
        <x:v>63.7</x:v>
      </x:c>
      <x:c r="H23" t="n">
        <x:v>65.36</x:v>
      </x:c>
      <x:c r="I23" t="n">
        <x:v>66.88</x:v>
      </x:c>
      <x:c r="J23" t="n">
        <x:v>6.579999999999998</x:v>
      </x:c>
      <x:c r="K23" t="n">
        <x:v>0.83</x:v>
      </x:c>
      <x:c r="L23" t="n">
        <x:v>33.47</x:v>
      </x:c>
      <x:c r="M23" t="n">
        <x:v>85.29</x:v>
      </x:c>
      <x:c r="N23" t="n">
        <x:v>51.82000000000001</x:v>
      </x:c>
      <x:c r="O23" t="n">
        <x:v>77.94</x:v>
      </x:c>
      <x:c r="P23" t="n">
        <x:v>256.12</x:v>
      </x:c>
    </x:row>
    <x:row r="24">
      <x:c r="A24" t="str">
        <x:v>Ghana</x:v>
      </x:c>
      <x:c r="B24" t="str">
        <x:v>Ghana</x:v>
      </x:c>
      <x:c r="C24" t="str">
        <x:v>加纳</x:v>
      </x:c>
      <x:c r="D24" t="n">
        <x:v>80.4</x:v>
      </x:c>
      <x:c r="E24" t="n">
        <x:v>83.5</x:v>
      </x:c>
      <x:c r="F24" t="n">
        <x:v>85.44</x:v>
      </x:c>
      <x:c r="G24" t="n">
        <x:v>86.3</x:v>
      </x:c>
      <x:c r="H24" t="n">
        <x:v>85.1</x:v>
      </x:c>
      <x:c r="I24" t="n">
        <x:v>89.49</x:v>
      </x:c>
      <x:c r="J24" t="n">
        <x:v>9.08999999999999</x:v>
      </x:c>
      <x:c r="K24" t="n">
        <x:v>3.43</x:v>
      </x:c>
      <x:c r="L24" t="n">
        <x:v>77.8</x:v>
      </x:c>
      <x:c r="M24" t="n">
        <x:v>97.53</x:v>
      </x:c>
      <x:c r="N24" t="n">
        <x:v>19.730000000000004</x:v>
      </x:c>
      <x:c r="O24" t="n">
        <x:v>577.03</x:v>
      </x:c>
      <x:c r="P24" t="n">
        <x:v>737.16</x:v>
      </x:c>
    </x:row>
    <x:row r="25">
      <x:c r="A25" t="str">
        <x:v>Guinea</x:v>
      </x:c>
      <x:c r="B25" t="str">
        <x:v>Guinea</x:v>
      </x:c>
      <x:c r="C25" t="str">
        <x:v>几内亚</x:v>
      </x:c>
      <x:c r="D25" t="n">
        <x:v>45</x:v>
      </x:c>
      <x:c r="E25" t="n">
        <x:v>42.2</x:v>
      </x:c>
      <x:c r="F25" t="n">
        <x:v>44.75</x:v>
      </x:c>
      <x:c r="G25" t="n">
        <x:v>46.81</x:v>
      </x:c>
      <x:c r="H25" t="n">
        <x:v>47.72</x:v>
      </x:c>
      <x:c r="I25" t="n">
        <x:v>51.12</x:v>
      </x:c>
      <x:c r="J25" t="n">
        <x:v>6.119999999999997</x:v>
      </x:c>
      <x:c r="K25" t="n">
        <x:v>7.26</x:v>
      </x:c>
      <x:c r="L25" t="n">
        <x:v>25.67</x:v>
      </x:c>
      <x:c r="M25" t="n">
        <x:v>92.49</x:v>
      </x:c>
      <x:c r="N25" t="n">
        <x:v>66.82</x:v>
      </x:c>
      <x:c r="O25" t="n">
        <x:v>193.67</x:v>
      </x:c>
      <x:c r="P25" t="n">
        <x:v>219.19</x:v>
      </x:c>
    </x:row>
    <x:row r="26">
      <x:c r="A26" t="str">
        <x:v>Guinea Bissau</x:v>
      </x:c>
      <x:c r="B26" t="str">
        <x:v>Guinea-Bissau</x:v>
      </x:c>
      <x:c r="C26" t="str">
        <x:v>几内亚比绍</x:v>
      </x:c>
      <x:c r="D26" t="n">
        <x:v>28.38</x:v>
      </x:c>
      <x:c r="E26" t="n">
        <x:v>30.93</x:v>
      </x:c>
      <x:c r="F26" t="n">
        <x:v>33.37</x:v>
      </x:c>
      <x:c r="G26" t="n">
        <x:v>35.76</x:v>
      </x:c>
      <x:c r="H26" t="n">
        <x:v>36.94</x:v>
      </x:c>
      <x:c r="I26" t="n">
        <x:v>40.52</x:v>
      </x:c>
      <x:c r="J26" t="n">
        <x:v>12.140000000000004</x:v>
      </x:c>
      <x:c r="K26" t="n">
        <x:v>1.28</x:v>
      </x:c>
      <x:c r="L26" t="n">
        <x:v>20.69</x:v>
      </x:c>
      <x:c r="M26" t="n">
        <x:v>64.31</x:v>
      </x:c>
      <x:c r="N26" t="n">
        <x:v>43.620000000000005</x:v>
      </x:c>
      <x:c r="O26" t="n">
        <x:v>74.72</x:v>
      </x:c>
      <x:c r="P26" t="n">
        <x:v>110.88</x:v>
      </x:c>
    </x:row>
    <x:row r="27">
      <x:c r="A27" t="str">
        <x:v>Kenya</x:v>
      </x:c>
      <x:c r="B27" t="str">
        <x:v>Kenya</x:v>
      </x:c>
      <x:c r="C27" t="str">
        <x:v>肯尼亚</x:v>
      </x:c>
      <x:c r="D27" t="n">
        <x:v>61.18</x:v>
      </x:c>
      <x:c r="E27" t="n">
        <x:v>69.7</x:v>
      </x:c>
      <x:c r="F27" t="n">
        <x:v>71.49</x:v>
      </x:c>
      <x:c r="G27" t="n">
        <x:v>76.54</x:v>
      </x:c>
      <x:c r="H27" t="n">
        <x:v>76</x:v>
      </x:c>
      <x:c r="I27" t="n">
        <x:v>76.16</x:v>
      </x:c>
      <x:c r="J27" t="n">
        <x:v>14.979999999999997</x:v>
      </x:c>
      <x:c r="K27" t="n">
        <x:v>13.69</x:v>
      </x:c>
      <x:c r="L27" t="n">
        <x:v>67.86</x:v>
      </x:c>
      <x:c r="M27" t="n">
        <x:v>95.97</x:v>
      </x:c>
      <x:c r="N27" t="n">
        <x:v>28.11</x:v>
      </x:c>
      <x:c r="O27" t="n">
        <x:v>166.18</x:v>
      </x:c>
      <x:c r="P27" t="n">
        <x:v>217.86</x:v>
      </x:c>
    </x:row>
    <x:row r="28">
      <x:c r="A28" t="str">
        <x:v>Lesotho</x:v>
      </x:c>
      <x:c r="B28" t="str">
        <x:v>Lesotho</x:v>
      </x:c>
      <x:c r="C28" t="str">
        <x:v>莱索托</x:v>
      </x:c>
      <x:c r="D28" t="n">
        <x:v>47</x:v>
      </x:c>
      <x:c r="E28" t="n">
        <x:v>44.56</x:v>
      </x:c>
      <x:c r="F28" t="n">
        <x:v>47.5</x:v>
      </x:c>
      <x:c r="G28" t="n">
        <x:v>50.38</x:v>
      </x:c>
      <x:c r="H28" t="n">
        <x:v>51.87</x:v>
      </x:c>
      <x:c r="I28" t="n">
        <x:v>57.29</x:v>
      </x:c>
      <x:c r="J28" t="n">
        <x:v>10.29</x:v>
      </x:c>
      <x:c r="K28" t="n">
        <x:v>1.03</x:v>
      </x:c>
      <x:c r="L28" t="n">
        <x:v>45.17</x:v>
      </x:c>
      <x:c r="M28" t="n">
        <x:v>85</x:v>
      </x:c>
      <x:c r="N28" t="n">
        <x:v>39.83</x:v>
      </x:c>
      <x:c r="O28" t="n">
        <x:v>355.49</x:v>
      </x:c>
      <x:c r="P28" t="n">
        <x:v>199.79</x:v>
      </x:c>
    </x:row>
    <x:row r="29">
      <x:c r="A29" t="str">
        <x:v>Liberia</x:v>
      </x:c>
      <x:c r="B29" t="str">
        <x:v>Liberia</x:v>
      </x:c>
      <x:c r="C29" t="str">
        <x:v>利比里亚</x:v>
      </x:c>
      <x:c r="D29" t="n">
        <x:v>22.77</x:v>
      </x:c>
      <x:c r="E29" t="n">
        <x:v>23.1</x:v>
      </x:c>
      <x:c r="F29" t="n">
        <x:v>27.56</x:v>
      </x:c>
      <x:c r="G29" t="n">
        <x:v>29.85</x:v>
      </x:c>
      <x:c r="H29" t="n">
        <x:v>31.8</x:v>
      </x:c>
      <x:c r="I29" t="n">
        <x:v>32.54</x:v>
      </x:c>
      <x:c r="J29" t="n">
        <x:v>9.77</x:v>
      </x:c>
      <x:c r="K29" t="n">
        <x:v>3.71</x:v>
      </x:c>
      <x:c r="L29" t="n">
        <x:v>9.29</x:v>
      </x:c>
      <x:c r="M29" t="n">
        <x:v>52.7</x:v>
      </x:c>
      <x:c r="N29" t="n">
        <x:v>43.410000000000004</x:v>
      </x:c>
      <x:c r="O29" t="n">
        <x:v>107.64</x:v>
      </x:c>
      <x:c r="P29" t="n">
        <x:v>340.15</x:v>
      </x:c>
    </x:row>
    <x:row r="30">
      <x:c r="A30" t="str">
        <x:v>Libya</x:v>
      </x:c>
      <x:c r="B30" t="str">
        <x:v>Libya</x:v>
      </x:c>
      <x:c r="C30" t="str">
        <x:v>利比亚</x:v>
      </x:c>
      <x:c r="D30" t="n">
        <x:v>67</x:v>
      </x:c>
      <x:c r="E30" t="n">
        <x:v>68.47</x:v>
      </x:c>
      <x:c r="F30" t="n">
        <x:v>69.37</x:v>
      </x:c>
      <x:c r="G30" t="n">
        <x:v>70.21</x:v>
      </x:c>
      <x:c r="H30" t="n">
        <x:v>70</x:v>
      </x:c>
      <x:c r="I30" t="n">
        <x:v>73.25</x:v>
      </x:c>
      <x:c r="J30" t="n">
        <x:v>6.25</x:v>
      </x:c>
      <x:c r="K30" t="n">
        <x:v>1.84</x:v>
      </x:c>
      <x:c r="L30" t="n">
        <x:v>7.17</x:v>
      </x:c>
      <x:c r="M30" t="n">
        <x:v>88.14</x:v>
      </x:c>
      <x:c r="N30" t="n">
        <x:v>80.97</x:v>
      </x:c>
      <x:c r="O30" t="n">
        <x:v>3129.02</x:v>
      </x:c>
      <x:c r="P30" t="n">
        <x:v>5273.08</x:v>
      </x:c>
    </x:row>
    <x:row r="31">
      <x:c r="A31" t="str">
        <x:v>Madagascar</x:v>
      </x:c>
      <x:c r="B31" t="str">
        <x:v>Madagascar</x:v>
      </x:c>
      <x:c r="C31" t="str">
        <x:v>马达加斯加</x:v>
      </x:c>
      <x:c r="D31" t="n">
        <x:v>36.5</x:v>
      </x:c>
      <x:c r="E31" t="n">
        <x:v>31.04</x:v>
      </x:c>
      <x:c r="F31" t="n">
        <x:v>32</x:v>
      </x:c>
      <x:c r="G31" t="n">
        <x:v>35.12</x:v>
      </x:c>
      <x:c r="H31" t="n">
        <x:v>36.15</x:v>
      </x:c>
      <x:c r="I31" t="n">
        <x:v>39.35</x:v>
      </x:c>
      <x:c r="J31" t="n">
        <x:v>2.8500000000000014</x:v>
      </x:c>
      <x:c r="K31" t="n">
        <x:v>18.16</x:v>
      </x:c>
      <x:c r="L31" t="n">
        <x:v>14.62</x:v>
      </x:c>
      <x:c r="M31" t="n">
        <x:v>75.61</x:v>
      </x:c>
      <x:c r="N31" t="n">
        <x:v>60.99</x:v>
      </x:c>
      <x:c r="O31" t="n">
        <x:v>56.61</x:v>
      </x:c>
      <x:c r="P31" t="n">
        <x:v>79.06</x:v>
      </x:c>
    </x:row>
    <x:row r="32">
      <x:c r="A32" t="str">
        <x:v>Malawi</x:v>
      </x:c>
      <x:c r="B32" t="str">
        <x:v>Malawi</x:v>
      </x:c>
      <x:c r="C32" t="str">
        <x:v>马拉维</x:v>
      </x:c>
      <x:c r="D32" t="n">
        <x:v>18.02</x:v>
      </x:c>
      <x:c r="E32" t="n">
        <x:v>11.2</x:v>
      </x:c>
      <x:c r="F32" t="n">
        <x:v>11.5</x:v>
      </x:c>
      <x:c r="G32" t="n">
        <x:v>14.19</x:v>
      </x:c>
      <x:c r="H32" t="n">
        <x:v>13.98</x:v>
      </x:c>
      <x:c r="I32" t="n">
        <x:v>15.58</x:v>
      </x:c>
      <x:c r="J32" t="n">
        <x:v>-2.4399999999999995</x:v>
      </x:c>
      <x:c r="K32" t="n">
        <x:v>18.61</x:v>
      </x:c>
      <x:c r="L32" t="n">
        <x:v>6.15</x:v>
      </x:c>
      <x:c r="M32" t="n">
        <x:v>57.77</x:v>
      </x:c>
      <x:c r="N32" t="n">
        <x:v>51.620000000000005</x:v>
      </x:c>
      <x:c r="O32" t="n">
        <x:v>78.23</x:v>
      </x:c>
      <x:c r="P32" t="n">
        <x:v>97.19</x:v>
      </x:c>
    </x:row>
    <x:row r="33">
      <x:c r="A33" t="str">
        <x:v>Mali</x:v>
      </x:c>
      <x:c r="B33" t="str">
        <x:v>Mali</x:v>
      </x:c>
      <x:c r="C33" t="str">
        <x:v>马里</x:v>
      </x:c>
      <x:c r="D33" t="n">
        <x:v>50.9</x:v>
      </x:c>
      <x:c r="E33" t="n">
        <x:v>47.85</x:v>
      </x:c>
      <x:c r="F33" t="n">
        <x:v>50.64</x:v>
      </x:c>
      <x:c r="G33" t="n">
        <x:v>53.38</x:v>
      </x:c>
      <x:c r="H33" t="n">
        <x:v>53</x:v>
      </x:c>
      <x:c r="I33" t="n">
        <x:v>54.47</x:v>
      </x:c>
      <x:c r="J33" t="n">
        <x:v>3.5700000000000003</x:v>
      </x:c>
      <x:c r="K33" t="n">
        <x:v>10.09</x:v>
      </x:c>
      <x:c r="L33" t="n">
        <x:v>22.67</x:v>
      </x:c>
      <x:c r="M33" t="n">
        <x:v>91.51</x:v>
      </x:c>
      <x:c r="N33" t="n">
        <x:v>68.84</x:v>
      </x:c>
      <x:c r="O33" t="n">
        <x:v>342.59</x:v>
      </x:c>
      <x:c r="P33" t="n">
        <x:v>279.93</x:v>
      </x:c>
    </x:row>
    <x:row r="34">
      <x:c r="A34" t="str">
        <x:v>Mauritania</x:v>
      </x:c>
      <x:c r="B34" t="str">
        <x:v>Mauritania</x:v>
      </x:c>
      <x:c r="C34" t="str">
        <x:v>毛里塔尼亚</x:v>
      </x:c>
      <x:c r="D34" t="n">
        <x:v>43.59</x:v>
      </x:c>
      <x:c r="E34" t="n">
        <x:v>44.95</x:v>
      </x:c>
      <x:c r="F34" t="n">
        <x:v>45.4</x:v>
      </x:c>
      <x:c r="G34" t="n">
        <x:v>47.7</x:v>
      </x:c>
      <x:c r="H34" t="n">
        <x:v>49.04</x:v>
      </x:c>
      <x:c r="I34" t="n">
        <x:v>50.26</x:v>
      </x:c>
      <x:c r="J34" t="n">
        <x:v>6.669999999999995</x:v>
      </x:c>
      <x:c r="K34" t="n">
        <x:v>2.57</x:v>
      </x:c>
      <x:c r="L34" t="n">
        <x:v>3.82</x:v>
      </x:c>
      <x:c r="M34" t="n">
        <x:v>84.3</x:v>
      </x:c>
      <x:c r="N34" t="n">
        <x:v>80.48</x:v>
      </x:c>
      <x:c r="O34" t="n">
        <x:v>265.89</x:v>
      </x:c>
      <x:c r="P34" t="n">
        <x:v>343.76</x:v>
      </x:c>
    </x:row>
    <x:row r="35">
      <x:c r="A35" t="str">
        <x:v>Mauritius</x:v>
      </x:c>
      <x:c r="B35" t="str">
        <x:v>Mauritius</x:v>
      </x:c>
      <x:c r="C35" t="str">
        <x:v>毛里求斯</x:v>
      </x:c>
      <x:c r="D35" t="n">
        <x:v>99.79</x:v>
      </x:c>
      <x:c r="E35" t="n">
        <x:v>100</x:v>
      </x:c>
      <x:c r="F35" t="n">
        <x:v>99.46</x:v>
      </x:c>
      <x:c r="G35" t="n">
        <x:v>99.6</x:v>
      </x:c>
      <x:c r="H35" t="n">
        <x:v>100</x:v>
      </x:c>
      <x:c r="I35" t="n">
        <x:v>100</x:v>
      </x:c>
      <x:c r="J35" t="n">
        <x:v>0.20999999999999375</x:v>
      </x:c>
      <x:c r="K35" t="n">
        <x:v>0</x:v>
      </x:c>
      <x:c r="L35" t="n">
        <x:v>100</x:v>
      </x:c>
      <x:c r="M35" t="n">
        <x:v>100</x:v>
      </x:c>
      <x:c r="N35" t="n">
        <x:v>0</x:v>
      </x:c>
      <x:c r="O35" t="n">
        <x:v>2352.42</x:v>
      </x:c>
      <x:c r="P35" t="n">
        <x:v>1679.28</x:v>
      </x:c>
    </x:row>
    <x:row r="36">
      <x:c r="A36" t="str">
        <x:v>Morocco</x:v>
      </x:c>
      <x:c r="B36" t="str">
        <x:v>Morocco</x:v>
      </x:c>
      <x:c r="C36" t="str">
        <x:v>摩洛哥</x:v>
      </x:c>
      <x:c r="D36" t="n">
        <x:v>98.1</x:v>
      </x:c>
      <x:c r="E36" t="n">
        <x:v>99.6</x:v>
      </x:c>
      <x:c r="F36" t="n">
        <x:v>100</x:v>
      </x:c>
      <x:c r="G36" t="n">
        <x:v>100</x:v>
      </x:c>
      <x:c r="H36" t="n">
        <x:v>100</x:v>
      </x:c>
      <x:c r="I36" t="n">
        <x:v>100</x:v>
      </x:c>
      <x:c r="J36" t="n">
        <x:v>1.9000000000000057</x:v>
      </x:c>
      <x:c r="K36" t="n">
        <x:v>0</x:v>
      </x:c>
      <x:c r="L36" t="n">
        <x:v>100</x:v>
      </x:c>
      <x:c r="M36" t="n">
        <x:v>100</x:v>
      </x:c>
      <x:c r="N36" t="n">
        <x:v>0</x:v>
      </x:c>
      <x:c r="O36" t="n">
        <x:v>974.5</x:v>
      </x:c>
      <x:c r="P36" t="n">
        <x:v>347.9</x:v>
      </x:c>
    </x:row>
    <x:row r="37">
      <x:c r="A37" t="str">
        <x:v>Mozambique</x:v>
      </x:c>
      <x:c r="B37" t="str">
        <x:v>Mozambique</x:v>
      </x:c>
      <x:c r="C37" t="str">
        <x:v>莫桑比克</x:v>
      </x:c>
      <x:c r="D37" t="n">
        <x:v>31.1</x:v>
      </x:c>
      <x:c r="E37" t="n">
        <x:v>29.69</x:v>
      </x:c>
      <x:c r="F37" t="n">
        <x:v>30.61</x:v>
      </x:c>
      <x:c r="G37" t="n">
        <x:v>31.49</x:v>
      </x:c>
      <x:c r="H37" t="n">
        <x:v>33.22</x:v>
      </x:c>
      <x:c r="I37" t="n">
        <x:v>36.01</x:v>
      </x:c>
      <x:c r="J37" t="n">
        <x:v>4.909999999999997</x:v>
      </x:c>
      <x:c r="K37" t="n">
        <x:v>22.48</x:v>
      </x:c>
      <x:c r="L37" t="n">
        <x:v>8.87</x:v>
      </x:c>
      <x:c r="M37" t="n">
        <x:v>78.9</x:v>
      </x:c>
      <x:c r="N37" t="n">
        <x:v>70.03</x:v>
      </x:c>
      <x:c r="O37" t="n">
        <x:v>343.91</x:v>
      </x:c>
      <x:c r="P37" t="n">
        <x:v>564.32</x:v>
      </x:c>
    </x:row>
    <x:row r="38">
      <x:c r="A38" t="str">
        <x:v>Namibia</x:v>
      </x:c>
      <x:c r="B38" t="str">
        <x:v>Namibia</x:v>
      </x:c>
      <x:c r="C38" t="str">
        <x:v>纳米比亚</x:v>
      </x:c>
      <x:c r="D38" t="n">
        <x:v>52.32</x:v>
      </x:c>
      <x:c r="E38" t="n">
        <x:v>53.28</x:v>
      </x:c>
      <x:c r="F38" t="n">
        <x:v>52.3</x:v>
      </x:c>
      <x:c r="G38" t="n">
        <x:v>55.23</x:v>
      </x:c>
      <x:c r="H38" t="n">
        <x:v>56.19</x:v>
      </x:c>
      <x:c r="I38" t="n">
        <x:v>56.67</x:v>
      </x:c>
      <x:c r="J38" t="n">
        <x:v>4.350000000000001</x:v>
      </x:c>
      <x:c r="K38" t="n">
        <x:v>1.24</x:v>
      </x:c>
      <x:c r="L38" t="n">
        <x:v>34.37</x:v>
      </x:c>
      <x:c r="M38" t="n">
        <x:v>75</x:v>
      </x:c>
      <x:c r="N38" t="n">
        <x:v>40.63</x:v>
      </x:c>
      <x:c r="O38" t="n">
        <x:v>1415.37</x:v>
      </x:c>
      <x:c r="P38" t="n">
        <x:v>623.34</x:v>
      </x:c>
    </x:row>
    <x:row r="39">
      <x:c r="A39" t="str">
        <x:v>Niger</x:v>
      </x:c>
      <x:c r="B39" t="str">
        <x:v>Niger</x:v>
      </x:c>
      <x:c r="C39" t="str">
        <x:v>尼日尔</x:v>
      </x:c>
      <x:c r="D39" t="n">
        <x:v>17.6</x:v>
      </x:c>
      <x:c r="E39" t="n">
        <x:v>18.46</x:v>
      </x:c>
      <x:c r="F39" t="n">
        <x:v>18.72</x:v>
      </x:c>
      <x:c r="G39" t="n">
        <x:v>18.6</x:v>
      </x:c>
      <x:c r="H39" t="n">
        <x:v>19.54</x:v>
      </x:c>
      <x:c r="I39" t="n">
        <x:v>20.1</x:v>
      </x:c>
      <x:c r="J39" t="n">
        <x:v>2.5</x:v>
      </x:c>
      <x:c r="K39" t="n">
        <x:v>21.55</x:v>
      </x:c>
      <x:c r="L39" t="n">
        <x:v>10.38</x:v>
      </x:c>
      <x:c r="M39" t="n">
        <x:v>67.39</x:v>
      </x:c>
      <x:c r="N39" t="n">
        <x:v>57.01</x:v>
      </x:c>
      <x:c r="O39" t="n">
        <x:v>50.6</x:v>
      </x:c>
      <x:c r="P39" t="n">
        <x:v>15.69</x:v>
      </x:c>
    </x:row>
    <x:row r="40">
      <x:c r="A40" t="str">
        <x:v>Nigeria</x:v>
      </x:c>
      <x:c r="B40" t="str">
        <x:v>Nigeria</x:v>
      </x:c>
      <x:c r="C40" t="str">
        <x:v>尼日利亚</x:v>
      </x:c>
      <x:c r="D40" t="n">
        <x:v>56.5</x:v>
      </x:c>
      <x:c r="E40" t="n">
        <x:v>55.4</x:v>
      </x:c>
      <x:c r="F40" t="n">
        <x:v>55.4</x:v>
      </x:c>
      <x:c r="G40" t="n">
        <x:v>59.5</x:v>
      </x:c>
      <x:c r="H40" t="n">
        <x:v>60.53</x:v>
      </x:c>
      <x:c r="I40" t="n">
        <x:v>61.19</x:v>
      </x:c>
      <x:c r="J40" t="n">
        <x:v>4.689999999999998</x:v>
      </x:c>
      <x:c r="K40" t="n">
        <x:v>86.3</x:v>
      </x:c>
      <x:c r="L40" t="n">
        <x:v>32.92</x:v>
      </x:c>
      <x:c r="M40" t="n">
        <x:v>85</x:v>
      </x:c>
      <x:c r="N40" t="n">
        <x:v>52.08</x:v>
      </x:c>
      <x:c r="O40" t="n">
        <x:v>204.74</x:v>
      </x:c>
      <x:c r="P40" t="n">
        <x:v>164.71</x:v>
      </x:c>
    </x:row>
    <x:row r="41">
      <x:c r="A41" t="str">
        <x:v>Rwanda</x:v>
      </x:c>
      <x:c r="B41" t="str">
        <x:v>Rwanda</x:v>
      </x:c>
      <x:c r="C41" t="str">
        <x:v>卢旺达</x:v>
      </x:c>
      <x:c r="D41" t="n">
        <x:v>37.96</x:v>
      </x:c>
      <x:c r="E41" t="n">
        <x:v>46.6</x:v>
      </x:c>
      <x:c r="F41" t="n">
        <x:v>45.19</x:v>
      </x:c>
      <x:c r="G41" t="n">
        <x:v>48.7</x:v>
      </x:c>
      <x:c r="H41" t="n">
        <x:v>50.58</x:v>
      </x:c>
      <x:c r="I41" t="n">
        <x:v>63.9</x:v>
      </x:c>
      <x:c r="J41" t="n">
        <x:v>25.939999999999998</x:v>
      </x:c>
      <x:c r="K41" t="n">
        <x:v>5.04</x:v>
      </x:c>
      <x:c r="L41" t="n">
        <x:v>56.06</x:v>
      </x:c>
      <x:c r="M41" t="n">
        <x:v>99.89</x:v>
      </x:c>
      <x:c r="N41" t="n">
        <x:v>43.83</x:v>
      </x:c>
      <x:c r="O41" t="n">
        <x:v>86.54</x:v>
      </x:c>
      <x:c r="P41" t="n">
        <x:v>71.43</x:v>
      </x:c>
    </x:row>
    <x:row r="42">
      <x:c r="A42" t="str">
        <x:v>Sao Tome Prn</x:v>
      </x:c>
      <x:c r="B42" t="str">
        <x:v>Sao Tome and Principe</x:v>
      </x:c>
      <x:c r="C42" t="str">
        <x:v>圣多美和普林西比</x:v>
      </x:c>
      <x:c r="D42" t="n">
        <x:v>71</x:v>
      </x:c>
      <x:c r="E42" t="n">
        <x:v>75.12</x:v>
      </x:c>
      <x:c r="F42" t="n">
        <x:v>76.81</x:v>
      </x:c>
      <x:c r="G42" t="n">
        <x:v>78.45</x:v>
      </x:c>
      <x:c r="H42" t="n">
        <x:v>78.39</x:v>
      </x:c>
      <x:c r="I42" t="n">
        <x:v>81.27</x:v>
      </x:c>
      <x:c r="J42" t="n">
        <x:v>10.269999999999996</x:v>
      </x:c>
      <x:c r="K42" t="n">
        <x:v>0.04</x:v>
      </x:c>
      <x:c r="L42" t="n">
        <x:v>79.09</x:v>
      </x:c>
      <x:c r="M42" t="n">
        <x:v>81.94</x:v>
      </x:c>
      <x:c r="N42" t="n">
        <x:v>2.8499999999999943</x:v>
      </x:c>
      <x:c r="O42" t="n">
        <x:v>258.02</x:v>
      </x:c>
      <x:c r="P42" t="n">
        <x:v>509.6</x:v>
      </x:c>
    </x:row>
    <x:row r="43">
      <x:c r="A43" t="str">
        <x:v>Senegal</x:v>
      </x:c>
      <x:c r="B43" t="str">
        <x:v>Senegal</x:v>
      </x:c>
      <x:c r="C43" t="str">
        <x:v>塞内加尔</x:v>
      </x:c>
      <x:c r="D43" t="n">
        <x:v>66</x:v>
      </x:c>
      <x:c r="E43" t="n">
        <x:v>70.4</x:v>
      </x:c>
      <x:c r="F43" t="n">
        <x:v>64.3</x:v>
      </x:c>
      <x:c r="G43" t="n">
        <x:v>67.98</x:v>
      </x:c>
      <x:c r="H43" t="n">
        <x:v>67.95</x:v>
      </x:c>
      <x:c r="I43" t="n">
        <x:v>74.2</x:v>
      </x:c>
      <x:c r="J43" t="n">
        <x:v>8.200000000000003</x:v>
      </x:c>
      <x:c r="K43" t="n">
        <x:v>4.8</x:v>
      </x:c>
      <x:c r="L43" t="n">
        <x:v>52.67</x:v>
      </x:c>
      <x:c r="M43" t="n">
        <x:v>96.1</x:v>
      </x:c>
      <x:c r="N43" t="n">
        <x:v>43.42999999999999</x:v>
      </x:c>
      <x:c r="O43" t="n">
        <x:v>354.8</x:v>
      </x:c>
      <x:c r="P43" t="n">
        <x:v>361.29</x:v>
      </x:c>
    </x:row>
    <x:row r="44">
      <x:c r="A44" t="str">
        <x:v>Seychelles</x:v>
      </x:c>
      <x:c r="B44" t="str">
        <x:v>Seychelles</x:v>
      </x:c>
      <x:c r="C44" t="str">
        <x:v>塞舌尔</x:v>
      </x:c>
      <x:c r="D44" t="n">
        <x:v>100</x:v>
      </x:c>
      <x:c r="E44" t="n">
        <x:v>100</x:v>
      </x:c>
      <x:c r="F44" t="n">
        <x:v>100</x:v>
      </x:c>
      <x:c r="G44" t="n">
        <x:v>100</x:v>
      </x:c>
      <x:c r="H44" t="n">
        <x:v>100</x:v>
      </x:c>
      <x:c r="I44" t="n">
        <x:v>100</x:v>
      </x:c>
      <x:c r="J44" t="n">
        <x:v>0</x:v>
      </x:c>
      <x:c r="K44" t="n">
        <x:v>0</x:v>
      </x:c>
      <x:c r="L44" t="n">
        <x:v>100</x:v>
      </x:c>
      <x:c r="M44" t="n">
        <x:v>100</x:v>
      </x:c>
      <x:c r="N44" t="n">
        <x:v>0</x:v>
      </x:c>
      <x:c r="O44" t="n">
        <x:v>5749.7</x:v>
      </x:c>
      <x:c r="P44" t="n">
        <x:v>5808.93</x:v>
      </x:c>
    </x:row>
    <x:row r="45">
      <x:c r="A45" t="str">
        <x:v>Sierra Leone</x:v>
      </x:c>
      <x:c r="B45" t="str">
        <x:v>Sierra Leone</x:v>
      </x:c>
      <x:c r="C45" t="str">
        <x:v>塞拉利昂</x:v>
      </x:c>
      <x:c r="D45" t="n">
        <x:v>26.1</x:v>
      </x:c>
      <x:c r="E45" t="n">
        <x:v>22.7</x:v>
      </x:c>
      <x:c r="F45" t="n">
        <x:v>26.31</x:v>
      </x:c>
      <x:c r="G45" t="n">
        <x:v>27.49</x:v>
      </x:c>
      <x:c r="H45" t="n">
        <x:v>29.4</x:v>
      </x:c>
      <x:c r="I45" t="n">
        <x:v>35.55</x:v>
      </x:c>
      <x:c r="J45" t="n">
        <x:v>9.449999999999996</x:v>
      </x:c>
      <x:c r="K45" t="n">
        <x:v>5.5</x:v>
      </x:c>
      <x:c r="L45" t="n">
        <x:v>19.03</x:v>
      </x:c>
      <x:c r="M45" t="n">
        <x:v>56.32</x:v>
      </x:c>
      <x:c r="N45" t="n">
        <x:v>37.29</x:v>
      </x:c>
      <x:c r="O45" t="n">
        <x:v>25.36</x:v>
      </x:c>
      <x:c r="P45" t="n">
        <x:v>53.42</x:v>
      </x:c>
    </x:row>
    <x:row r="46">
      <x:c r="A46" t="str">
        <x:v>Somalia</x:v>
      </x:c>
      <x:c r="B46" t="str">
        <x:v>Somalia</x:v>
      </x:c>
      <x:c r="C46" t="str">
        <x:v>索马里</x:v>
      </x:c>
      <x:c r="D46" t="n">
        <x:v>50.73</x:v>
      </x:c>
      <x:c r="E46" t="n">
        <x:v>49.2</x:v>
      </x:c>
      <x:c r="F46" t="n">
        <x:v>49.86</x:v>
      </x:c>
      <x:c r="G46" t="n">
        <x:v>49.32</x:v>
      </x:c>
      <x:c r="H46" t="n">
        <x:v>48.92</x:v>
      </x:c>
      <x:c r="I46" t="n">
        <x:v>50.31</x:v>
      </x:c>
      <x:c r="J46" t="n">
        <x:v>-0.4199999999999946</x:v>
      </x:c>
      <x:c r="K46" t="n">
        <x:v>8.75</x:v>
      </x:c>
      <x:c r="L46" t="n">
        <x:v>23.91</x:v>
      </x:c>
      <x:c r="M46" t="n">
        <x:v>79</x:v>
      </x:c>
      <x:c r="N46" t="n">
        <x:v>55.09</x:v>
      </x:c>
      <x:c r="O46" t="n">
        <x:v>19.15</x:v>
      </x:c>
      <x:c r="P46" t="n">
        <x:v>27.78</x:v>
      </x:c>
    </x:row>
    <x:row r="47">
      <x:c r="A47" t="str">
        <x:v>South Africa</x:v>
      </x:c>
      <x:c r="B47" t="str">
        <x:v>South Africa</x:v>
      </x:c>
      <x:c r="C47" t="str">
        <x:v>南非</x:v>
      </x:c>
      <x:c r="D47" t="n">
        <x:v>84.7</x:v>
      </x:c>
      <x:c r="E47" t="n">
        <x:v>85</x:v>
      </x:c>
      <x:c r="F47" t="n">
        <x:v>90</x:v>
      </x:c>
      <x:c r="G47" t="n">
        <x:v>89.3</x:v>
      </x:c>
      <x:c r="H47" t="n">
        <x:v>86.48</x:v>
      </x:c>
      <x:c r="I47" t="n">
        <x:v>87.73</x:v>
      </x:c>
      <x:c r="J47" t="n">
        <x:v>3.030000000000001</x:v>
      </x:c>
      <x:c r="K47" t="n">
        <x:v>7.44</x:v>
      </x:c>
      <x:c r="L47" t="n">
        <x:v>80.8</x:v>
      </x:c>
      <x:c r="M47" t="n">
        <x:v>90.86</x:v>
      </x:c>
      <x:c r="N47" t="n">
        <x:v>10.060000000000002</x:v>
      </x:c>
      <x:c r="O47" t="n">
        <x:v>5366.81</x:v>
      </x:c>
      <x:c r="P47" t="n">
        <x:v>4542.19</x:v>
      </x:c>
    </x:row>
    <x:row r="48">
      <x:c r="A48" t="str">
        <x:v>South Sudan</x:v>
      </x:c>
      <x:c r="B48" t="str">
        <x:v>South Sudan</x:v>
      </x:c>
      <x:c r="C48" t="str">
        <x:v>南苏丹</x:v>
      </x:c>
      <x:c r="D48" t="n">
        <x:v>6.29</x:v>
      </x:c>
      <x:c r="E48" t="n">
        <x:v>6.77</x:v>
      </x:c>
      <x:c r="F48" t="n">
        <x:v>7.26</x:v>
      </x:c>
      <x:c r="G48" t="n">
        <x:v>7.75</x:v>
      </x:c>
      <x:c r="H48" t="n">
        <x:v>5.4</x:v>
      </x:c>
      <x:c r="I48" t="n">
        <x:v>5.4</x:v>
      </x:c>
      <x:c r="J48" t="n">
        <x:v>-0.8899999999999997</x:v>
      </x:c>
      <x:c r="K48" t="n">
        <x:v>13.88</x:v>
      </x:c>
      <x:c r="L48" t="n">
        <x:v>1.7</x:v>
      </x:c>
      <x:c r="M48" t="n">
        <x:v>19.14</x:v>
      </x:c>
      <x:c r="N48" t="n">
        <x:v>17.44</x:v>
      </x:c>
      <x:c r="O48" t="n">
        <x:v>46.26</x:v>
      </x:c>
      <x:c r="P48" t="n">
        <x:v>43.87</x:v>
      </x:c>
    </x:row>
    <x:row r="49">
      <x:c r="A49" t="str">
        <x:v>Sudan</x:v>
      </x:c>
      <x:c r="B49" t="str">
        <x:v>Sudan</x:v>
      </x:c>
      <x:c r="C49" t="str">
        <x:v>苏丹</x:v>
      </x:c>
      <x:c r="D49" t="n">
        <x:v>55.34</x:v>
      </x:c>
      <x:c r="E49" t="n">
        <x:v>57.57</x:v>
      </x:c>
      <x:c r="F49" t="n">
        <x:v>59.7</x:v>
      </x:c>
      <x:c r="G49" t="n">
        <x:v>61.77</x:v>
      </x:c>
      <x:c r="H49" t="n">
        <x:v>63.21</x:v>
      </x:c>
      <x:c r="I49" t="n">
        <x:v>65.98</x:v>
      </x:c>
      <x:c r="J49" t="n">
        <x:v>10.64</x:v>
      </x:c>
      <x:c r="K49" t="n">
        <x:v>15.91</x:v>
      </x:c>
      <x:c r="L49" t="n">
        <x:v>53.99</x:v>
      </x:c>
      <x:c r="M49" t="n">
        <x:v>87</x:v>
      </x:c>
      <x:c r="N49" t="n">
        <x:v>33.01</x:v>
      </x:c>
      <x:c r="O49" t="n">
        <x:v>322.23</x:v>
      </x:c>
      <x:c r="P49" t="n">
        <x:v>413.15</x:v>
      </x:c>
    </x:row>
    <x:row r="50">
      <x:c r="A50" t="str">
        <x:v>Tanzania</x:v>
      </x:c>
      <x:c r="B50" t="str">
        <x:v>United Republic of Tanzania</x:v>
      </x:c>
      <x:c r="C50" t="str">
        <x:v>坦桑尼亚</x:v>
      </x:c>
      <x:c r="D50" t="n">
        <x:v>34.93</x:v>
      </x:c>
      <x:c r="E50" t="n">
        <x:v>37.7</x:v>
      </x:c>
      <x:c r="F50" t="n">
        <x:v>39.9</x:v>
      </x:c>
      <x:c r="G50" t="n">
        <x:v>42.74</x:v>
      </x:c>
      <x:c r="H50" t="n">
        <x:v>45.8</x:v>
      </x:c>
      <x:c r="I50" t="n">
        <x:v>48.3</x:v>
      </x:c>
      <x:c r="J50" t="n">
        <x:v>13.369999999999997</x:v>
      </x:c>
      <x:c r="K50" t="n">
        <x:v>35.46</x:v>
      </x:c>
      <x:c r="L50" t="n">
        <x:v>27.9</x:v>
      </x:c>
      <x:c r="M50" t="n">
        <x:v>82.45</x:v>
      </x:c>
      <x:c r="N50" t="n">
        <x:v>54.550000000000004</x:v>
      </x:c>
      <x:c r="O50" t="n">
        <x:v>136.12</x:v>
      </x:c>
      <x:c r="P50" t="n">
        <x:v>149.09</x:v>
      </x:c>
    </x:row>
    <x:row r="51">
      <x:c r="A51" t="str">
        <x:v>Togo</x:v>
      </x:c>
      <x:c r="B51" t="str">
        <x:v>Togo</x:v>
      </x:c>
      <x:c r="C51" t="str">
        <x:v>多哥</x:v>
      </x:c>
      <x:c r="D51" t="n">
        <x:v>50</x:v>
      </x:c>
      <x:c r="E51" t="n">
        <x:v>52.46</x:v>
      </x:c>
      <x:c r="F51" t="n">
        <x:v>54.13</x:v>
      </x:c>
      <x:c r="G51" t="n">
        <x:v>55.74</x:v>
      </x:c>
      <x:c r="H51" t="n">
        <x:v>57.2</x:v>
      </x:c>
      <x:c r="I51" t="n">
        <x:v>59.2</x:v>
      </x:c>
      <x:c r="J51" t="n">
        <x:v>9.200000000000003</x:v>
      </x:c>
      <x:c r="K51" t="n">
        <x:v>3.67</x:v>
      </x:c>
      <x:c r="L51" t="n">
        <x:v>30.5</x:v>
      </x:c>
      <x:c r="M51" t="n">
        <x:v>95</x:v>
      </x:c>
      <x:c r="N51" t="n">
        <x:v>64.5</x:v>
      </x:c>
      <x:c r="O51" t="n">
        <x:v>224.68</x:v>
      </x:c>
      <x:c r="P51" t="n">
        <x:v>95.35</x:v>
      </x:c>
    </x:row>
    <x:row r="52">
      <x:c r="A52" t="str">
        <x:v>Tunisia</x:v>
      </x:c>
      <x:c r="B52" t="str">
        <x:v>Tunisia</x:v>
      </x:c>
      <x:c r="C52" t="str">
        <x:v>突尼斯</x:v>
      </x:c>
      <x:c r="D52" t="n">
        <x:v>99.8</x:v>
      </x:c>
      <x:c r="E52" t="n">
        <x:v>100</x:v>
      </x:c>
      <x:c r="F52" t="n">
        <x:v>99.9</x:v>
      </x:c>
      <x:c r="G52" t="n">
        <x:v>99.9</x:v>
      </x:c>
      <x:c r="H52" t="n">
        <x:v>100</x:v>
      </x:c>
      <x:c r="I52" t="n">
        <x:v>100</x:v>
      </x:c>
      <x:c r="J52" t="n">
        <x:v>0.20000000000000284</x:v>
      </x:c>
      <x:c r="K52" t="n">
        <x:v>0</x:v>
      </x:c>
      <x:c r="L52" t="n">
        <x:v>100</x:v>
      </x:c>
      <x:c r="M52" t="n">
        <x:v>100</x:v>
      </x:c>
      <x:c r="N52" t="n">
        <x:v>0</x:v>
      </x:c>
      <x:c r="O52" t="n">
        <x:v>1527.11</x:v>
      </x:c>
      <x:c r="P52" t="n">
        <x:v>1599.18</x:v>
      </x:c>
    </x:row>
    <x:row r="53">
      <x:c r="A53" t="str">
        <x:v>Uganda</x:v>
      </x:c>
      <x:c r="B53" t="str">
        <x:v>Uganda</x:v>
      </x:c>
      <x:c r="C53" t="str">
        <x:v>乌干达</x:v>
      </x:c>
      <x:c r="D53" t="n">
        <x:v>41.92</x:v>
      </x:c>
      <x:c r="E53" t="n">
        <x:v>41.3</x:v>
      </x:c>
      <x:c r="F53" t="n">
        <x:v>42.14</x:v>
      </x:c>
      <x:c r="G53" t="n">
        <x:v>45.22</x:v>
      </x:c>
      <x:c r="H53" t="n">
        <x:v>47.11</x:v>
      </x:c>
      <x:c r="I53" t="n">
        <x:v>51.53</x:v>
      </x:c>
      <x:c r="J53" t="n">
        <x:v>9.61</x:v>
      </x:c>
      <x:c r="K53" t="n">
        <x:v>25.12</x:v>
      </x:c>
      <x:c r="L53" t="n">
        <x:v>42.45</x:v>
      </x:c>
      <x:c r="M53" t="n">
        <x:v>76.39</x:v>
      </x:c>
      <x:c r="N53" t="n">
        <x:v>33.94</x:v>
      </x:c>
      <x:c r="O53" t="n">
        <x:v>83.63</x:v>
      </x:c>
      <x:c r="P53" t="n">
        <x:v>119.35</x:v>
      </x:c>
    </x:row>
    <x:row r="54">
      <x:c r="A54" t="str">
        <x:v>Zambia</x:v>
      </x:c>
      <x:c r="B54" t="str">
        <x:v>Zambia</x:v>
      </x:c>
      <x:c r="C54" t="str">
        <x:v>赞比亚</x:v>
      </x:c>
      <x:c r="D54" t="n">
        <x:v>40.23</x:v>
      </x:c>
      <x:c r="E54" t="n">
        <x:v>43</x:v>
      </x:c>
      <x:c r="F54" t="n">
        <x:v>44.6</x:v>
      </x:c>
      <x:c r="G54" t="n">
        <x:v>46.69</x:v>
      </x:c>
      <x:c r="H54" t="n">
        <x:v>47.83</x:v>
      </x:c>
      <x:c r="I54" t="n">
        <x:v>51.09</x:v>
      </x:c>
      <x:c r="J54" t="n">
        <x:v>10.860000000000007</x:v>
      </x:c>
      <x:c r="K54" t="n">
        <x:v>9.97</x:v>
      </x:c>
      <x:c r="L54" t="n">
        <x:v>17.59</x:v>
      </x:c>
      <x:c r="M54" t="n">
        <x:v>89.89</x:v>
      </x:c>
      <x:c r="N54" t="n">
        <x:v>72.3</x:v>
      </x:c>
      <x:c r="O54" t="n">
        <x:v>739.63</x:v>
      </x:c>
      <x:c r="P54" t="n">
        <x:v>862.3</x:v>
      </x:c>
    </x:row>
    <x:row r="55">
      <x:c r="A55" t="str">
        <x:v>Zimbabwe</x:v>
      </x:c>
      <x:c r="B55" t="str">
        <x:v>Zimbabwe</x:v>
      </x:c>
      <x:c r="C55" t="str">
        <x:v>津巴布韦</x:v>
      </x:c>
      <x:c r="D55" t="n">
        <x:v>45.4</x:v>
      </x:c>
      <x:c r="E55" t="n">
        <x:v>46.68</x:v>
      </x:c>
      <x:c r="F55" t="n">
        <x:v>52.75</x:v>
      </x:c>
      <x:c r="G55" t="n">
        <x:v>48.98</x:v>
      </x:c>
      <x:c r="H55" t="n">
        <x:v>50.3</x:v>
      </x:c>
      <x:c r="I55" t="n">
        <x:v>62</x:v>
      </x:c>
      <x:c r="J55" t="n">
        <x:v>16.6</x:v>
      </x:c>
      <x:c r="K55" t="n">
        <x:v>7.15</x:v>
      </x:c>
      <x:c r="L55" t="n">
        <x:v>51.4</x:v>
      </x:c>
      <x:c r="M55" t="n">
        <x:v>84</x:v>
      </x:c>
      <x:c r="N55" t="n">
        <x:v>32.6</x:v>
      </x:c>
      <x:c r="O55" t="n">
        <x:v>481</x:v>
      </x:c>
      <x:c r="P55" t="n">
        <x:v>376.18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7.6299991607666" hidden="0" customWidth="1"/>
    <x:col min="5" max="5" width="27.6299991607666" hidden="0" customWidth="1"/>
    <x:col min="6" max="6" width="20.1299991607666" hidden="0" customWidth="1"/>
    <x:col min="7" max="7" width="20.1299991607666" hidden="0" customWidth="1"/>
    <x:col min="8" max="8" width="20.6299991607666" hidden="0" customWidth="1"/>
    <x:col min="9" max="9" width="20.6299991607666" hidden="0" customWidth="1"/>
    <x:col min="10" max="10" width="19.25" hidden="0" customWidth="1"/>
    <x:col min="11" max="11" width="17.75" hidden="0" customWidth="1"/>
    <x:col min="12" max="12" width="28.8799991607666" hidden="0" customWidth="1"/>
  </x:cols>
  <x:sheetData>
    <x:row r="1">
      <x:c r="A1" s="47" t="str">
        <x:v>IRENA Label</x:v>
      </x:c>
      <x:c r="B1" s="47" t="str">
        <x:v>Country EN</x:v>
      </x:c>
      <x:c r="C1" s="47" t="str">
        <x:v>Country CN</x:v>
      </x:c>
      <x:c r="D1" s="47" t="str">
        <x:v>Nonrenewable Capacity 2018 (MW)</x:v>
      </x:c>
      <x:c r="E1" s="47" t="str">
        <x:v>Nonrenewable Capacity 2023 (MW)</x:v>
      </x:c>
      <x:c r="F1" s="47" t="str">
        <x:v>Total Capacity 2018 (MW)</x:v>
      </x:c>
      <x:c r="G1" s="47" t="str">
        <x:v>Total Capacity 2023 (MW)</x:v>
      </x:c>
      <x:c r="H1" s="47" t="str">
        <x:v>Nonrenewable Share 2018</x:v>
      </x:c>
      <x:c r="I1" s="47" t="str">
        <x:v>Nonrenewable Share 2023</x:v>
      </x:c>
      <x:c r="J1" s="47" t="str">
        <x:v>Share Change 2018-2023</x:v>
      </x:c>
      <x:c r="K1" s="47" t="str">
        <x:v>Log Growth 2018-2023</x:v>
      </x:c>
      <x:c r="L1" s="47" t="str">
        <x:v>M5 Path Adjustment (= - Log Growth)</x:v>
      </x:c>
    </x:row>
    <x:row r="2">
      <x:c r="A2" t="str">
        <x:v>Algeria</x:v>
      </x:c>
      <x:c r="B2" t="str">
        <x:v>Algeria</x:v>
      </x:c>
      <x:c r="C2" t="str">
        <x:v>阿尔及利亚</x:v>
      </x:c>
      <x:c r="D2" s="24" t="n">
        <x:v>21583.26</x:v>
      </x:c>
      <x:c r="E2" s="24" t="n">
        <x:v>27218.86</x:v>
      </x:c>
      <x:c r="F2" s="24" t="n">
        <x:v>22188</x:v>
      </x:c>
      <x:c r="G2" s="24" t="n">
        <x:v>27819.56</x:v>
      </x:c>
      <x:c r="H2" s="22" t="n">
        <x:v>0.9727447268793942</x:v>
      </x:c>
      <x:c r="I2" s="22" t="n">
        <x:v>0.9784072789073587</x:v>
      </x:c>
      <x:c r="J2" s="22" t="n">
        <x:v>0.005662552027964507</x:v>
      </x:c>
      <x:c r="K2" s="22" t="n">
        <x:v>0.046396501716054674</x:v>
      </x:c>
      <x:c r="L2" s="22" t="n">
        <x:v>-0.046396501716054674</x:v>
      </x:c>
    </x:row>
    <x:row r="3">
      <x:c r="A3" t="str">
        <x:v>Angola</x:v>
      </x:c>
      <x:c r="B3" t="str">
        <x:v>Angola</x:v>
      </x:c>
      <x:c r="C3" t="str">
        <x:v>安哥拉</x:v>
      </x:c>
      <x:c r="D3" s="24" t="n">
        <x:v>2337.06</x:v>
      </x:c>
      <x:c r="E3" s="24" t="n">
        <x:v>2357.06</x:v>
      </x:c>
      <x:c r="F3" s="24" t="n">
        <x:v>5449.77</x:v>
      </x:c>
      <x:c r="G3" s="24" t="n">
        <x:v>6447.79</x:v>
      </x:c>
      <x:c r="H3" s="22" t="n">
        <x:v>0.42883644630874324</x:v>
      </x:c>
      <x:c r="I3" s="22" t="n">
        <x:v>0.3655609131190687</x:v>
      </x:c>
      <x:c r="J3" s="22" t="n">
        <x:v>-0.06327553318967455</x:v>
      </x:c>
      <x:c r="K3" s="22" t="n">
        <x:v>0.0017035442807381783</x:v>
      </x:c>
      <x:c r="L3" s="22" t="n">
        <x:v>-0.0017035442807381783</x:v>
      </x:c>
    </x:row>
    <x:row r="4">
      <x:c r="A4" t="str">
        <x:v>Benin</x:v>
      </x:c>
      <x:c r="B4" t="str">
        <x:v>Benin</x:v>
      </x:c>
      <x:c r="C4" t="str">
        <x:v>贝宁</x:v>
      </x:c>
      <x:c r="D4" s="24" t="n">
        <x:v>174</x:v>
      </x:c>
      <x:c r="E4" s="24" t="n">
        <x:v>301</x:v>
      </x:c>
      <x:c r="F4" s="24" t="n">
        <x:v>177.09</x:v>
      </x:c>
      <x:c r="G4" s="24" t="n">
        <x:v>336.76</x:v>
      </x:c>
      <x:c r="H4" s="22" t="n">
        <x:v>0.9825512451295951</x:v>
      </x:c>
      <x:c r="I4" s="22" t="n">
        <x:v>0.8938116165815417</x:v>
      </x:c>
      <x:c r="J4" s="22" t="n">
        <x:v>-0.0887396285480534</x:v>
      </x:c>
      <x:c r="K4" s="22" t="n">
        <x:v>0.10912820869027104</x:v>
      </x:c>
      <x:c r="L4" s="22" t="n">
        <x:v>-0.10912820869027104</x:v>
      </x:c>
    </x:row>
    <x:row r="5">
      <x:c r="A5" t="str">
        <x:v>Botswana</x:v>
      </x:c>
      <x:c r="B5" t="str">
        <x:v>Botswana</x:v>
      </x:c>
      <x:c r="C5" t="str">
        <x:v>博茨瓦纳</x:v>
      </x:c>
      <x:c r="D5" s="24" t="n">
        <x:v>917</x:v>
      </x:c>
      <x:c r="E5" s="24" t="n">
        <x:v>917</x:v>
      </x:c>
      <x:c r="F5" s="24" t="n">
        <x:v>920.72</x:v>
      </x:c>
      <x:c r="G5" s="24" t="n">
        <x:v>927.3</x:v>
      </x:c>
      <x:c r="H5" s="22" t="n">
        <x:v>0.9959596837257798</x:v>
      </x:c>
      <x:c r="I5" s="22" t="n">
        <x:v>0.9888924835544053</x:v>
      </x:c>
      <x:c r="J5" s="22" t="n">
        <x:v>-0.007067200171374521</x:v>
      </x:c>
      <x:c r="K5" s="22" t="n">
        <x:v>0</x:v>
      </x:c>
      <x:c r="L5" s="22" t="n">
        <x:v>0</x:v>
      </x:c>
    </x:row>
    <x:row r="6">
      <x:c r="A6" t="str">
        <x:v>Burkina Faso</x:v>
      </x:c>
      <x:c r="B6" t="str">
        <x:v>Burkina Faso</x:v>
      </x:c>
      <x:c r="C6" t="str">
        <x:v>布基纳法索</x:v>
      </x:c>
      <x:c r="D6" s="24" t="n">
        <x:v>289.16</x:v>
      </x:c>
      <x:c r="E6" s="24" t="n">
        <x:v>395</x:v>
      </x:c>
      <x:c r="F6" s="24" t="n">
        <x:v>375.76</x:v>
      </x:c>
      <x:c r="G6" s="24" t="n">
        <x:v>606.94</x:v>
      </x:c>
      <x:c r="H6" s="22" t="n">
        <x:v>0.7695337449435811</x:v>
      </x:c>
      <x:c r="I6" s="22" t="n">
        <x:v>0.6508056809569315</x:v>
      </x:c>
      <x:c r="J6" s="22" t="n">
        <x:v>-0.11872806398664959</x:v>
      </x:c>
      <x:c r="K6" s="22" t="n">
        <x:v>0.06219634325596672</x:v>
      </x:c>
      <x:c r="L6" s="22" t="n">
        <x:v>-0.06219634325596672</x:v>
      </x:c>
    </x:row>
    <x:row r="7">
      <x:c r="A7" t="str">
        <x:v>Burundi</x:v>
      </x:c>
      <x:c r="B7" t="str">
        <x:v>Burundi</x:v>
      </x:c>
      <x:c r="C7" t="str">
        <x:v>布隆迪</x:v>
      </x:c>
      <x:c r="D7" s="24" t="n">
        <x:v>50.5</x:v>
      </x:c>
      <x:c r="E7" s="24" t="n">
        <x:v>50.5</x:v>
      </x:c>
      <x:c r="F7" s="24" t="n">
        <x:v>104.66</x:v>
      </x:c>
      <x:c r="G7" s="24" t="n">
        <x:v>127.31</x:v>
      </x:c>
      <x:c r="H7" s="22" t="n">
        <x:v>0.48251480986050066</x:v>
      </x:c>
      <x:c r="I7" s="22" t="n">
        <x:v>0.39666954677558713</x:v>
      </x:c>
      <x:c r="J7" s="22" t="n">
        <x:v>-0.08584526308491353</x:v>
      </x:c>
      <x:c r="K7" s="22" t="n">
        <x:v>0</x:v>
      </x:c>
      <x:c r="L7" s="22" t="n">
        <x:v>0</x:v>
      </x:c>
    </x:row>
    <x:row r="8">
      <x:c r="A8" t="str">
        <x:v>Cabo Verde</x:v>
      </x:c>
      <x:c r="B8" t="str">
        <x:v>Cabo Verde</x:v>
      </x:c>
      <x:c r="C8" t="str">
        <x:v>佛得角</x:v>
      </x:c>
      <x:c r="D8" s="24" t="n">
        <x:v>140.94</x:v>
      </x:c>
      <x:c r="E8" s="24" t="n">
        <x:v>157.69</x:v>
      </x:c>
      <x:c r="F8" s="24" t="n">
        <x:v>178.55</x:v>
      </x:c>
      <x:c r="G8" s="24" t="n">
        <x:v>210.54</x:v>
      </x:c>
      <x:c r="H8" s="22" t="n">
        <x:v>0.7893587230467656</x:v>
      </x:c>
      <x:c r="I8" s="22" t="n">
        <x:v>0.7489788163769355</x:v>
      </x:c>
      <x:c r="J8" s="22" t="n">
        <x:v>-0.040379906669830046</x:v>
      </x:c>
      <x:c r="K8" s="22" t="n">
        <x:v>0.022309636095582695</x:v>
      </x:c>
      <x:c r="L8" s="22" t="n">
        <x:v>-0.022309636095582695</x:v>
      </x:c>
    </x:row>
    <x:row r="9">
      <x:c r="A9" t="str">
        <x:v>Cameroon</x:v>
      </x:c>
      <x:c r="B9" t="str">
        <x:v>Cameroon</x:v>
      </x:c>
      <x:c r="C9" t="str">
        <x:v>喀麦隆</x:v>
      </x:c>
      <x:c r="D9" s="24" t="n">
        <x:v>701.22</x:v>
      </x:c>
      <x:c r="E9" s="24" t="n">
        <x:v>702.58</x:v>
      </x:c>
      <x:c r="F9" s="24" t="n">
        <x:v>1445.16</x:v>
      </x:c>
      <x:c r="G9" s="24" t="n">
        <x:v>1579.23</x:v>
      </x:c>
      <x:c r="H9" s="22" t="n">
        <x:v>0.4852196296603836</x:v>
      </x:c>
      <x:c r="I9" s="22" t="n">
        <x:v>0.44488769843531345</x:v>
      </x:c>
      <x:c r="J9" s="22" t="n">
        <x:v>-0.04033193122507017</x:v>
      </x:c>
      <x:c r="K9" s="22" t="n">
        <x:v>0.00038696839501390913</x:v>
      </x:c>
      <x:c r="L9" s="22" t="n">
        <x:v>-0.00038696839501390913</x:v>
      </x:c>
    </x:row>
    <x:row r="10">
      <x:c r="A10" t="str">
        <x:v>Cent Afr Rep</x:v>
      </x:c>
      <x:c r="B10" t="str">
        <x:v>Central African Republic</x:v>
      </x:c>
      <x:c r="C10" t="str">
        <x:v>中非共和国</x:v>
      </x:c>
      <x:c r="D10" s="24" t="n">
        <x:v>22</x:v>
      </x:c>
      <x:c r="E10" s="24" t="n">
        <x:v>72</x:v>
      </x:c>
      <x:c r="F10" s="24" t="n">
        <x:v>41.15</x:v>
      </x:c>
      <x:c r="G10" s="24" t="n">
        <x:v>131.27</x:v>
      </x:c>
      <x:c r="H10" s="22" t="n">
        <x:v>0.534629404617254</x:v>
      </x:c>
      <x:c r="I10" s="22" t="n">
        <x:v>0.5484878494705568</x:v>
      </x:c>
      <x:c r="J10" s="22" t="n">
        <x:v>0.013858444853302898</x:v>
      </x:c>
      <x:c r="K10" s="22" t="n">
        <x:v>0.23099304504384827</x:v>
      </x:c>
      <x:c r="L10" s="22" t="n">
        <x:v>-0.23099304504384827</x:v>
      </x:c>
    </x:row>
    <x:row r="11">
      <x:c r="A11" t="str">
        <x:v>Chad</x:v>
      </x:c>
      <x:c r="B11" t="str">
        <x:v>Chad</x:v>
      </x:c>
      <x:c r="C11" t="str">
        <x:v>乍得</x:v>
      </x:c>
      <x:c r="D11" s="24" t="n">
        <x:v>282</x:v>
      </x:c>
      <x:c r="E11" s="24" t="n">
        <x:v>282</x:v>
      </x:c>
      <x:c r="F11" s="24" t="n">
        <x:v>285.66</x:v>
      </x:c>
      <x:c r="G11" s="24" t="n">
        <x:v>286.76</x:v>
      </x:c>
      <x:c r="H11" s="22" t="n">
        <x:v>0.987187565637471</x:v>
      </x:c>
      <x:c r="I11" s="22" t="n">
        <x:v>0.9834007532431301</x:v>
      </x:c>
      <x:c r="J11" s="22" t="n">
        <x:v>-0.003786812394340866</x:v>
      </x:c>
      <x:c r="K11" s="22" t="n">
        <x:v>0</x:v>
      </x:c>
      <x:c r="L11" s="22" t="n">
        <x:v>0</x:v>
      </x:c>
    </x:row>
    <x:row r="12">
      <x:c r="A12" t="str">
        <x:v>Comoros</x:v>
      </x:c>
      <x:c r="B12" t="str">
        <x:v>Comoros</x:v>
      </x:c>
      <x:c r="C12" t="str">
        <x:v>科摩罗</x:v>
      </x:c>
      <x:c r="D12" s="24" t="n">
        <x:v>21.6</x:v>
      </x:c>
      <x:c r="E12" s="24" t="n">
        <x:v>21.6</x:v>
      </x:c>
      <x:c r="F12" s="24" t="n">
        <x:v>24.19</x:v>
      </x:c>
      <x:c r="G12" s="24" t="n">
        <x:v>26.12</x:v>
      </x:c>
      <x:c r="H12" s="22" t="n">
        <x:v>0.8929309632079372</x:v>
      </x:c>
      <x:c r="I12" s="22" t="n">
        <x:v>0.8269525267993875</x:v>
      </x:c>
      <x:c r="J12" s="22" t="n">
        <x:v>-0.06597843640854972</x:v>
      </x:c>
      <x:c r="K12" s="22" t="n">
        <x:v>0</x:v>
      </x:c>
      <x:c r="L12" s="22" t="n">
        <x:v>0</x:v>
      </x:c>
    </x:row>
    <x:row r="13">
      <x:c r="A13" t="str">
        <x:v>Congo DR</x:v>
      </x:c>
      <x:c r="B13" t="str">
        <x:v>Democratic Republic of the Congo</x:v>
      </x:c>
      <x:c r="C13" t="str">
        <x:v>刚果（金）</x:v>
      </x:c>
      <x:c r="D13" s="24" t="n">
        <x:v>31.84</x:v>
      </x:c>
      <x:c r="E13" s="24" t="n">
        <x:v>77.51</x:v>
      </x:c>
      <x:c r="F13" s="24" t="n">
        <x:v>2640.93</x:v>
      </x:c>
      <x:c r="G13" s="24" t="n">
        <x:v>3293.86</x:v>
      </x:c>
      <x:c r="H13" s="22" t="n">
        <x:v>0.012056358934163345</x:v>
      </x:c>
      <x:c r="I13" s="22" t="n">
        <x:v>0.02353166194070179</x:v>
      </x:c>
      <x:c r="J13" s="22" t="n">
        <x:v>0.011475303006538444</x:v>
      </x:c>
      <x:c r="K13" s="22" t="n">
        <x:v>0.17431574412518724</x:v>
      </x:c>
      <x:c r="L13" s="22" t="n">
        <x:v>-0.17431574412518724</x:v>
      </x:c>
    </x:row>
    <x:row r="14">
      <x:c r="A14" t="str">
        <x:v>Congo Rep</x:v>
      </x:c>
      <x:c r="B14" t="str">
        <x:v>Republic of the Congo</x:v>
      </x:c>
      <x:c r="C14" t="str">
        <x:v>刚果（布）</x:v>
      </x:c>
      <x:c r="D14" s="24" t="n">
        <x:v>426.66</x:v>
      </x:c>
      <x:c r="E14" s="24" t="n">
        <x:v>596.66</x:v>
      </x:c>
      <x:c r="F14" s="24" t="n">
        <x:v>652.82</x:v>
      </x:c>
      <x:c r="G14" s="24" t="n">
        <x:v>823.5</x:v>
      </x:c>
      <x:c r="H14" s="22" t="n">
        <x:v>0.6535645354002635</x:v>
      </x:c>
      <x:c r="I14" s="22" t="n">
        <x:v>0.7245415907710989</x:v>
      </x:c>
      <x:c r="J14" s="22" t="n">
        <x:v>0.07097705537083543</x:v>
      </x:c>
      <x:c r="K14" s="22" t="n">
        <x:v>0.06693870860472799</x:v>
      </x:c>
      <x:c r="L14" s="22" t="n">
        <x:v>-0.06693870860472799</x:v>
      </x:c>
    </x:row>
    <x:row r="15">
      <x:c r="A15" t="str">
        <x:v>Cote d Ivoire</x:v>
      </x:c>
      <x:c r="B15" t="str">
        <x:v>Côte d'Ivoire</x:v>
      </x:c>
      <x:c r="C15" t="str">
        <x:v>科特迪瓦</x:v>
      </x:c>
      <x:c r="D15" s="24" t="n">
        <x:v>1325.14</x:v>
      </x:c>
      <x:c r="E15" s="24" t="n">
        <x:v>2003.14</x:v>
      </x:c>
      <x:c r="F15" s="24" t="n">
        <x:v>2206.24</x:v>
      </x:c>
      <x:c r="G15" s="24" t="n">
        <x:v>2922.22</x:v>
      </x:c>
      <x:c r="H15" s="22" t="n">
        <x:v>0.6006327507433462</x:v>
      </x:c>
      <x:c r="I15" s="22" t="n">
        <x:v>0.685485692384557</x:v>
      </x:c>
      <x:c r="J15" s="22" t="n">
        <x:v>0.08485294164121082</x:v>
      </x:c>
      <x:c r="K15" s="22" t="n">
        <x:v>0.08258851483554128</x:v>
      </x:c>
      <x:c r="L15" s="22" t="n">
        <x:v>-0.08258851483554128</x:v>
      </x:c>
    </x:row>
    <x:row r="16">
      <x:c r="A16" t="str">
        <x:v>Djibouti</x:v>
      </x:c>
      <x:c r="B16" t="str">
        <x:v>Djibouti</x:v>
      </x:c>
      <x:c r="C16" t="str">
        <x:v>吉布提</x:v>
      </x:c>
      <x:c r="D16" s="24" t="n">
        <x:v>123</x:v>
      </x:c>
      <x:c r="E16" s="24" t="n">
        <x:v>123</x:v>
      </x:c>
      <x:c r="F16" s="24" t="n">
        <x:v>123.43</x:v>
      </x:c>
      <x:c r="G16" s="24" t="n">
        <x:v>203.43</x:v>
      </x:c>
      <x:c r="H16" s="22" t="n">
        <x:v>0.9965162440249533</x:v>
      </x:c>
      <x:c r="I16" s="22" t="n">
        <x:v>0.6046305854593718</x:v>
      </x:c>
      <x:c r="J16" s="22" t="n">
        <x:v>-0.39188565856558155</x:v>
      </x:c>
      <x:c r="K16" s="22" t="n">
        <x:v>0</x:v>
      </x:c>
      <x:c r="L16" s="22" t="n">
        <x:v>0</x:v>
      </x:c>
    </x:row>
    <x:row r="17">
      <x:c r="A17" t="str">
        <x:v>Egypt</x:v>
      </x:c>
      <x:c r="B17" t="str">
        <x:v>Egypt</x:v>
      </x:c>
      <x:c r="C17" t="str">
        <x:v>埃及</x:v>
      </x:c>
      <x:c r="D17" s="24" t="n">
        <x:v>50942.5</x:v>
      </x:c>
      <x:c r="E17" s="24" t="n">
        <x:v>53425</x:v>
      </x:c>
      <x:c r="F17" s="24" t="n">
        <x:v>55735.7</x:v>
      </x:c>
      <x:c r="G17" s="24" t="n">
        <x:v>60134.28</x:v>
      </x:c>
      <x:c r="H17" s="22" t="n">
        <x:v>0.9140012595158938</x:v>
      </x:c>
      <x:c r="I17" s="22" t="n">
        <x:v>0.8884283639880614</x:v>
      </x:c>
      <x:c r="J17" s="22" t="n">
        <x:v>-0.025572895527832484</x:v>
      </x:c>
      <x:c r="K17" s="22" t="n">
        <x:v>0.009516068676701295</x:v>
      </x:c>
      <x:c r="L17" s="22" t="n">
        <x:v>-0.009516068676701295</x:v>
      </x:c>
    </x:row>
    <x:row r="18">
      <x:c r="A18" t="str">
        <x:v>Eq Guinea</x:v>
      </x:c>
      <x:c r="B18" t="str">
        <x:v>Equatorial Guinea</x:v>
      </x:c>
      <x:c r="C18" t="str">
        <x:v>赤道几内亚</x:v>
      </x:c>
      <x:c r="D18" s="24" t="n">
        <x:v>273.97</x:v>
      </x:c>
      <x:c r="E18" s="24" t="n">
        <x:v>273.97</x:v>
      </x:c>
      <x:c r="F18" s="24" t="n">
        <x:v>401.46</x:v>
      </x:c>
      <x:c r="G18" s="24" t="n">
        <x:v>401.12</x:v>
      </x:c>
      <x:c r="H18" s="22" t="n">
        <x:v>0.6824341154785035</x:v>
      </x:c>
      <x:c r="I18" s="22" t="n">
        <x:v>0.6830125648185082</x:v>
      </x:c>
      <x:c r="J18" s="22" t="n">
        <x:v>0.0005784493400047275</x:v>
      </x:c>
      <x:c r="K18" s="22" t="n">
        <x:v>0</x:v>
      </x:c>
      <x:c r="L18" s="22" t="n">
        <x:v>0</x:v>
      </x:c>
    </x:row>
    <x:row r="19">
      <x:c r="A19" t="str">
        <x:v>Eritrea</x:v>
      </x:c>
      <x:c r="B19" t="str">
        <x:v>Eritrea</x:v>
      </x:c>
      <x:c r="C19" t="str">
        <x:v>厄立特里亚</x:v>
      </x:c>
      <x:c r="D19" s="24" t="n">
        <x:v>206</x:v>
      </x:c>
      <x:c r="E19" s="24" t="n">
        <x:v>206</x:v>
      </x:c>
      <x:c r="F19" s="24" t="n">
        <x:v>232.69</x:v>
      </x:c>
      <x:c r="G19" s="24" t="n">
        <x:v>231.61</x:v>
      </x:c>
      <x:c r="H19" s="22" t="n">
        <x:v>0.8852980360135803</x:v>
      </x:c>
      <x:c r="I19" s="22" t="n">
        <x:v>0.8894261905789905</x:v>
      </x:c>
      <x:c r="J19" s="22" t="n">
        <x:v>0.004128154565410269</x:v>
      </x:c>
      <x:c r="K19" s="22" t="n">
        <x:v>0</x:v>
      </x:c>
      <x:c r="L19" s="22" t="n">
        <x:v>0</x:v>
      </x:c>
    </x:row>
    <x:row r="20">
      <x:c r="A20" t="str">
        <x:v>Eswatini</x:v>
      </x:c>
      <x:c r="B20" t="str">
        <x:v>Eswatini</x:v>
      </x:c>
      <x:c r="C20" t="str">
        <x:v>斯威士兰</x:v>
      </x:c>
      <x:c r="D20" s="24" t="n">
        <x:v>9.9</x:v>
      </x:c>
      <x:c r="E20" s="24" t="n">
        <x:v>9.9</x:v>
      </x:c>
      <x:c r="F20" s="24" t="n">
        <x:v>178.23</x:v>
      </x:c>
      <x:c r="G20" s="24" t="n">
        <x:v>207.38</x:v>
      </x:c>
      <x:c r="H20" s="22" t="n">
        <x:v>0.055546204342703256</x:v>
      </x:c>
      <x:c r="I20" s="22" t="n">
        <x:v>0.04773845115247372</x:v>
      </x:c>
      <x:c r="J20" s="22" t="n">
        <x:v>-0.007807753190229534</x:v>
      </x:c>
      <x:c r="K20" s="22" t="n">
        <x:v>0</x:v>
      </x:c>
      <x:c r="L20" s="22" t="n">
        <x:v>0</x:v>
      </x:c>
    </x:row>
    <x:row r="21">
      <x:c r="A21" t="str">
        <x:v>Ethiopia</x:v>
      </x:c>
      <x:c r="B21" t="str">
        <x:v>Ethiopia</x:v>
      </x:c>
      <x:c r="C21" t="str">
        <x:v>埃塞俄比亚</x:v>
      </x:c>
      <x:c r="D21" s="24" t="n">
        <x:v>87</x:v>
      </x:c>
      <x:c r="E21" s="24" t="n">
        <x:v>99.14</x:v>
      </x:c>
      <x:c r="F21" s="24" t="n">
        <x:v>4537.93</x:v>
      </x:c>
      <x:c r="G21" s="24" t="n">
        <x:v>5669.21</x:v>
      </x:c>
      <x:c r="H21" s="22" t="n">
        <x:v>0.01917173689325309</x:v>
      </x:c>
      <x:c r="I21" s="22" t="n">
        <x:v>0.017487445340708847</x:v>
      </x:c>
      <x:c r="J21" s="22" t="n">
        <x:v>-0.001684291552544244</x:v>
      </x:c>
      <x:c r="K21" s="22" t="n">
        <x:v>0.02584647848471846</x:v>
      </x:c>
      <x:c r="L21" s="22" t="n">
        <x:v>-0.02584647848471846</x:v>
      </x:c>
    </x:row>
    <x:row r="22">
      <x:c r="A22" t="str">
        <x:v>Gabon</x:v>
      </x:c>
      <x:c r="B22" t="str">
        <x:v>Gabon</x:v>
      </x:c>
      <x:c r="C22" t="str">
        <x:v>加蓬</x:v>
      </x:c>
      <x:c r="D22" s="24" t="n">
        <x:v>279.47</x:v>
      </x:c>
      <x:c r="E22" s="24" t="n">
        <x:v>382</x:v>
      </x:c>
      <x:c r="F22" s="24" t="n">
        <x:v>452.87</x:v>
      </x:c>
      <x:c r="G22" s="24" t="n">
        <x:v>703.32</x:v>
      </x:c>
      <x:c r="H22" s="22" t="n">
        <x:v>0.617108662530086</x:v>
      </x:c>
      <x:c r="I22" s="22" t="n">
        <x:v>0.5431382585451856</x:v>
      </x:c>
      <x:c r="J22" s="22" t="n">
        <x:v>-0.0739704039849004</x:v>
      </x:c>
      <x:c r="K22" s="22" t="n">
        <x:v>0.06231364436186233</x:v>
      </x:c>
      <x:c r="L22" s="22" t="n">
        <x:v>-0.06231364436186233</x:v>
      </x:c>
    </x:row>
    <x:row r="23">
      <x:c r="A23" t="str">
        <x:v>Gambia</x:v>
      </x:c>
      <x:c r="B23" t="str">
        <x:v>Gambia</x:v>
      </x:c>
      <x:c r="C23" t="str">
        <x:v>冈比亚</x:v>
      </x:c>
      <x:c r="D23" s="24" t="n">
        <x:v>141.8</x:v>
      </x:c>
      <x:c r="E23" s="24" t="n">
        <x:v>159.8</x:v>
      </x:c>
      <x:c r="F23" s="24" t="n">
        <x:v>144.34</x:v>
      </x:c>
      <x:c r="G23" s="24" t="n">
        <x:v>162.74</x:v>
      </x:c>
      <x:c r="H23" s="22" t="n">
        <x:v>0.9824026603852016</x:v>
      </x:c>
      <x:c r="I23" s="22" t="n">
        <x:v>0.9819343738478555</x:v>
      </x:c>
      <x:c r="J23" s="22" t="n">
        <x:v>-0.0004682865373460965</x:v>
      </x:c>
      <x:c r="K23" s="22" t="n">
        <x:v>0.0237432613678763</x:v>
      </x:c>
      <x:c r="L23" s="22" t="n">
        <x:v>-0.0237432613678763</x:v>
      </x:c>
    </x:row>
    <x:row r="24">
      <x:c r="A24" t="str">
        <x:v>Ghana</x:v>
      </x:c>
      <x:c r="B24" t="str">
        <x:v>Ghana</x:v>
      </x:c>
      <x:c r="C24" t="str">
        <x:v>加纳</x:v>
      </x:c>
      <x:c r="D24" s="24" t="n">
        <x:v>3113</x:v>
      </x:c>
      <x:c r="E24" s="24" t="n">
        <x:v>3913.5</x:v>
      </x:c>
      <x:c r="F24" s="24" t="n">
        <x:v>4777.71</x:v>
      </x:c>
      <x:c r="G24" s="24" t="n">
        <x:v>5693.97</x:v>
      </x:c>
      <x:c r="H24" s="22" t="n">
        <x:v>0.6515673827000802</x:v>
      </x:c>
      <x:c r="I24" s="22" t="n">
        <x:v>0.6873060448158315</x:v>
      </x:c>
      <x:c r="J24" s="22" t="n">
        <x:v>0.035738662115751274</x:v>
      </x:c>
      <x:c r="K24" s="22" t="n">
        <x:v>0.04575590679080506</x:v>
      </x:c>
      <x:c r="L24" s="22" t="n">
        <x:v>-0.04575590679080506</x:v>
      </x:c>
    </x:row>
    <x:row r="25">
      <x:c r="A25" t="str">
        <x:v>Guinea</x:v>
      </x:c>
      <x:c r="B25" t="str">
        <x:v>Guinea</x:v>
      </x:c>
      <x:c r="C25" t="str">
        <x:v>几内亚</x:v>
      </x:c>
      <x:c r="D25" s="24" t="n">
        <x:v>247</x:v>
      </x:c>
      <x:c r="E25" s="24" t="n">
        <x:v>428</x:v>
      </x:c>
      <x:c r="F25" s="24" t="n">
        <x:v>629.2</x:v>
      </x:c>
      <x:c r="G25" s="24" t="n">
        <x:v>1259.1</x:v>
      </x:c>
      <x:c r="H25" s="22" t="n">
        <x:v>0.39256198347107435</x:v>
      </x:c>
      <x:c r="I25" s="22" t="n">
        <x:v>0.33992534349932496</x:v>
      </x:c>
      <x:c r="J25" s="22" t="n">
        <x:v>-0.05263663997174939</x:v>
      </x:c>
      <x:c r="K25" s="22" t="n">
        <x:v>0.1096056345526069</x:v>
      </x:c>
      <x:c r="L25" s="22" t="n">
        <x:v>-0.1096056345526069</x:v>
      </x:c>
    </x:row>
    <x:row r="26">
      <x:c r="A26" t="str">
        <x:v>Guinea Bissau</x:v>
      </x:c>
      <x:c r="B26" t="str">
        <x:v>Guinea-Bissau</x:v>
      </x:c>
      <x:c r="C26" t="str">
        <x:v>几内亚比绍</x:v>
      </x:c>
      <x:c r="D26" s="24" t="n">
        <x:v>28</x:v>
      </x:c>
      <x:c r="E26" s="24" t="n">
        <x:v>28</x:v>
      </x:c>
      <x:c r="F26" s="24" t="n">
        <x:v>29.83</x:v>
      </x:c>
      <x:c r="G26" s="24" t="n">
        <x:v>29.98</x:v>
      </x:c>
      <x:c r="H26" s="22" t="n">
        <x:v>0.9386523633925579</x:v>
      </x:c>
      <x:c r="I26" s="22" t="n">
        <x:v>0.933955970647098</x:v>
      </x:c>
      <x:c r="J26" s="22" t="n">
        <x:v>-0.004696392745459854</x:v>
      </x:c>
      <x:c r="K26" s="22" t="n">
        <x:v>0</x:v>
      </x:c>
      <x:c r="L26" s="22" t="n">
        <x:v>0</x:v>
      </x:c>
    </x:row>
    <x:row r="27">
      <x:c r="A27" t="str">
        <x:v>Kenya</x:v>
      </x:c>
      <x:c r="B27" t="str">
        <x:v>Kenya</x:v>
      </x:c>
      <x:c r="C27" t="str">
        <x:v>肯尼亚</x:v>
      </x:c>
      <x:c r="D27" s="24" t="n">
        <x:v>806.72</x:v>
      </x:c>
      <x:c r="E27" s="24" t="n">
        <x:v>608.4</x:v>
      </x:c>
      <x:c r="F27" s="24" t="n">
        <x:v>2865.26</x:v>
      </x:c>
      <x:c r="G27" s="24" t="n">
        <x:v>3554.98</x:v>
      </x:c>
      <x:c r="H27" s="22" t="n">
        <x:v>0.2815521104541996</x:v>
      </x:c>
      <x:c r="I27" s="22" t="n">
        <x:v>0.1711402033204125</x:v>
      </x:c>
      <x:c r="J27" s="22" t="n">
        <x:v>-0.1104119071337871</x:v>
      </x:c>
      <x:c r="K27" s="22" t="n">
        <x:v>-0.056348119451802604</x:v>
      </x:c>
      <x:c r="L27" s="22" t="n">
        <x:v>0.056348119451802604</x:v>
      </x:c>
    </x:row>
    <x:row r="28">
      <x:c r="A28" t="str">
        <x:v>Lesotho</x:v>
      </x:c>
      <x:c r="B28" t="str">
        <x:v>Lesotho</x:v>
      </x:c>
      <x:c r="C28" t="str">
        <x:v>莱索托</x:v>
      </x:c>
      <x:c r="D28" s="24" t="n">
        <x:v>0.5</x:v>
      </x:c>
      <x:c r="E28" s="24" t="n">
        <x:v>0.61</x:v>
      </x:c>
      <x:c r="F28" s="24" t="n">
        <x:v>75.05</x:v>
      </x:c>
      <x:c r="G28" s="24" t="n">
        <x:v>103.58</x:v>
      </x:c>
      <x:c r="H28" s="22" t="n">
        <x:v>0.006662225183211193</x:v>
      </x:c>
      <x:c r="I28" s="22" t="n">
        <x:v>0.005889167793010234</x:v>
      </x:c>
      <x:c r="J28" s="22" t="n">
        <x:v>-0.000773057390200959</x:v>
      </x:c>
      <x:c r="K28" s="22" t="n">
        <x:v>0.014153814177641444</x:v>
      </x:c>
      <x:c r="L28" s="22" t="n">
        <x:v>-0.014153814177641444</x:v>
      </x:c>
    </x:row>
    <x:row r="29">
      <x:c r="A29" t="str">
        <x:v>Liberia</x:v>
      </x:c>
      <x:c r="B29" t="str">
        <x:v>Liberia</x:v>
      </x:c>
      <x:c r="C29" t="str">
        <x:v>利比里亚</x:v>
      </x:c>
      <x:c r="D29" s="24" t="n">
        <x:v>98.07</x:v>
      </x:c>
      <x:c r="E29" s="24" t="n">
        <x:v>98.07</x:v>
      </x:c>
      <x:c r="F29" s="24" t="n">
        <x:v>192.25</x:v>
      </x:c>
      <x:c r="G29" s="24" t="n">
        <x:v>194.13</x:v>
      </x:c>
      <x:c r="H29" s="22" t="n">
        <x:v>0.5101170351105331</x:v>
      </x:c>
      <x:c r="I29" s="22" t="n">
        <x:v>0.5051769432854273</x:v>
      </x:c>
      <x:c r="J29" s="22" t="n">
        <x:v>-0.004940091825105797</x:v>
      </x:c>
      <x:c r="K29" s="22" t="n">
        <x:v>0</x:v>
      </x:c>
      <x:c r="L29" s="22" t="n">
        <x:v>0</x:v>
      </x:c>
    </x:row>
    <x:row r="30">
      <x:c r="A30" t="str">
        <x:v>Libya</x:v>
      </x:c>
      <x:c r="B30" t="str">
        <x:v>Libya</x:v>
      </x:c>
      <x:c r="C30" t="str">
        <x:v>利比亚</x:v>
      </x:c>
      <x:c r="D30" s="24" t="n">
        <x:v>10511</x:v>
      </x:c>
      <x:c r="E30" s="24" t="n">
        <x:v>11231</x:v>
      </x:c>
      <x:c r="F30" s="24" t="n">
        <x:v>10516.11</x:v>
      </x:c>
      <x:c r="G30" s="24" t="n">
        <x:v>11239.33</x:v>
      </x:c>
      <x:c r="H30" s="22" t="n">
        <x:v>0.9995140788751734</x:v>
      </x:c>
      <x:c r="I30" s="22" t="n">
        <x:v>0.999258852618439</x:v>
      </x:c>
      <x:c r="J30" s="22" t="n">
        <x:v>-0.0002552262567343533</x:v>
      </x:c>
      <x:c r="K30" s="22" t="n">
        <x:v>0.013249877108239971</x:v>
      </x:c>
      <x:c r="L30" s="22" t="n">
        <x:v>-0.013249877108239971</x:v>
      </x:c>
    </x:row>
    <x:row r="31">
      <x:c r="A31" t="str">
        <x:v>Madagascar</x:v>
      </x:c>
      <x:c r="B31" t="str">
        <x:v>Madagascar</x:v>
      </x:c>
      <x:c r="C31" t="str">
        <x:v>马达加斯加</x:v>
      </x:c>
      <x:c r="D31" s="24" t="n">
        <x:v>622</x:v>
      </x:c>
      <x:c r="E31" s="24" t="n">
        <x:v>623.6</x:v>
      </x:c>
      <x:c r="F31" s="24" t="n">
        <x:v>808.32</x:v>
      </x:c>
      <x:c r="G31" s="24" t="n">
        <x:v>874.6</x:v>
      </x:c>
      <x:c r="H31" s="22" t="n">
        <x:v>0.7694972288202692</x:v>
      </x:c>
      <x:c r="I31" s="22" t="n">
        <x:v>0.7130116624742739</x:v>
      </x:c>
      <x:c r="J31" s="22" t="n">
        <x:v>-0.05648556634599522</x:v>
      </x:c>
      <x:c r="K31" s="22" t="n">
        <x:v>0.0005129852123049617</x:v>
      </x:c>
      <x:c r="L31" s="22" t="n">
        <x:v>-0.0005129852123049617</x:v>
      </x:c>
    </x:row>
    <x:row r="32">
      <x:c r="A32" t="str">
        <x:v>Malawi</x:v>
      </x:c>
      <x:c r="B32" t="str">
        <x:v>Malawi</x:v>
      </x:c>
      <x:c r="C32" t="str">
        <x:v>马拉维</x:v>
      </x:c>
      <x:c r="D32" s="24" t="n">
        <x:v>120.27</x:v>
      </x:c>
      <x:c r="E32" s="24" t="n">
        <x:v>132.1</x:v>
      </x:c>
      <x:c r="F32" s="24" t="n">
        <x:v>515.48</x:v>
      </x:c>
      <x:c r="G32" s="24" t="n">
        <x:v>652.53</x:v>
      </x:c>
      <x:c r="H32" s="22" t="n">
        <x:v>0.23331652052455962</x:v>
      </x:c>
      <x:c r="I32" s="22" t="n">
        <x:v>0.20244279956477096</x:v>
      </x:c>
      <x:c r="J32" s="22" t="n">
        <x:v>-0.03087372095978866</x:v>
      </x:c>
      <x:c r="K32" s="22" t="n">
        <x:v>0.018616252146473222</x:v>
      </x:c>
      <x:c r="L32" s="22" t="n">
        <x:v>-0.018616252146473222</x:v>
      </x:c>
    </x:row>
    <x:row r="33">
      <x:c r="A33" t="str">
        <x:v>Mali</x:v>
      </x:c>
      <x:c r="B33" t="str">
        <x:v>Mali</x:v>
      </x:c>
      <x:c r="C33" t="str">
        <x:v>马里</x:v>
      </x:c>
      <x:c r="D33" s="24" t="n">
        <x:v>458.9</x:v>
      </x:c>
      <x:c r="E33" s="24" t="n">
        <x:v>609.6</x:v>
      </x:c>
      <x:c r="F33" s="24" t="n">
        <x:v>824.93</x:v>
      </x:c>
      <x:c r="G33" s="24" t="n">
        <x:v>1202.6</x:v>
      </x:c>
      <x:c r="H33" s="22" t="n">
        <x:v>0.5562896245742063</x:v>
      </x:c>
      <x:c r="I33" s="22" t="n">
        <x:v>0.5069017129552637</x:v>
      </x:c>
      <x:c r="J33" s="22" t="n">
        <x:v>-0.049387911618942626</x:v>
      </x:c>
      <x:c r="K33" s="22" t="n">
        <x:v>0.05668660115097986</x:v>
      </x:c>
      <x:c r="L33" s="22" t="n">
        <x:v>-0.05668660115097986</x:v>
      </x:c>
    </x:row>
    <x:row r="34">
      <x:c r="A34" t="str">
        <x:v>Mauritania</x:v>
      </x:c>
      <x:c r="B34" t="str">
        <x:v>Mauritania</x:v>
      </x:c>
      <x:c r="C34" t="str">
        <x:v>毛里塔尼亚</x:v>
      </x:c>
      <x:c r="D34" s="24" t="n">
        <x:v>449.75</x:v>
      </x:c>
      <x:c r="E34" s="24" t="n">
        <x:v>504.63</x:v>
      </x:c>
      <x:c r="F34" s="24" t="n">
        <x:v>571</x:v>
      </x:c>
      <x:c r="G34" s="24" t="n">
        <x:v>764.41</x:v>
      </x:c>
      <x:c r="H34" s="22" t="n">
        <x:v>0.7876532399299475</x:v>
      </x:c>
      <x:c r="I34" s="22" t="n">
        <x:v>0.6601561988984969</x:v>
      </x:c>
      <x:c r="J34" s="22" t="n">
        <x:v>-0.12749704103145065</x:v>
      </x:c>
      <x:c r="K34" s="22" t="n">
        <x:v>0.022978462886396222</x:v>
      </x:c>
      <x:c r="L34" s="22" t="n">
        <x:v>-0.022978462886396222</x:v>
      </x:c>
    </x:row>
    <x:row r="35">
      <x:c r="A35" t="str">
        <x:v>Mauritius</x:v>
      </x:c>
      <x:c r="B35" t="str">
        <x:v>Mauritius</x:v>
      </x:c>
      <x:c r="C35" t="str">
        <x:v>毛里求斯</x:v>
      </x:c>
      <x:c r="D35" s="24" t="n">
        <x:v>640</x:v>
      </x:c>
      <x:c r="E35" s="24" t="n">
        <x:v>639.6</x:v>
      </x:c>
      <x:c r="F35" s="24" t="n">
        <x:v>878.04</x:v>
      </x:c>
      <x:c r="G35" s="24" t="n">
        <x:v>927.69</x:v>
      </x:c>
      <x:c r="H35" s="22" t="n">
        <x:v>0.7288961778506674</x:v>
      </x:c>
      <x:c r="I35" s="22" t="n">
        <x:v>0.6894544513792322</x:v>
      </x:c>
      <x:c r="J35" s="22" t="n">
        <x:v>-0.03944172647143518</x:v>
      </x:c>
      <x:c r="K35" s="22" t="n">
        <x:v>-0.0001248439491224218</x:v>
      </x:c>
      <x:c r="L35" s="22" t="n">
        <x:v>0.0001248439491224218</x:v>
      </x:c>
    </x:row>
    <x:row r="36">
      <x:c r="A36" t="str">
        <x:v>Morocco</x:v>
      </x:c>
      <x:c r="B36" t="str">
        <x:v>Morocco</x:v>
      </x:c>
      <x:c r="C36" t="str">
        <x:v>摩洛哥</x:v>
      </x:c>
      <x:c r="D36" s="24" t="n">
        <x:v>7237</x:v>
      </x:c>
      <x:c r="E36" s="24" t="n">
        <x:v>6802</x:v>
      </x:c>
      <x:c r="F36" s="24" t="n">
        <x:v>10972.83</x:v>
      </x:c>
      <x:c r="G36" s="24" t="n">
        <x:v>11508.93</x:v>
      </x:c>
      <x:c r="H36" s="22" t="n">
        <x:v>0.6595381501399366</x:v>
      </x:c>
      <x:c r="I36" s="22" t="n">
        <x:v>0.5910193215181603</x:v>
      </x:c>
      <x:c r="J36" s="22" t="n">
        <x:v>-0.06851882862177627</x:v>
      </x:c>
      <x:c r="K36" s="22" t="n">
        <x:v>-0.012396246755725215</x:v>
      </x:c>
      <x:c r="L36" s="22" t="n">
        <x:v>0.012396246755725215</x:v>
      </x:c>
    </x:row>
    <x:row r="37">
      <x:c r="A37" t="str">
        <x:v>Mozambique</x:v>
      </x:c>
      <x:c r="B37" t="str">
        <x:v>Mozambique</x:v>
      </x:c>
      <x:c r="C37" t="str">
        <x:v>莫桑比克</x:v>
      </x:c>
      <x:c r="D37" s="24" t="n">
        <x:v>660.44</x:v>
      </x:c>
      <x:c r="E37" s="24" t="n">
        <x:v>683.84</x:v>
      </x:c>
      <x:c r="F37" s="24" t="n">
        <x:v>2929.27</x:v>
      </x:c>
      <x:c r="G37" s="24" t="n">
        <x:v>3054.84</x:v>
      </x:c>
      <x:c r="H37" s="22" t="n">
        <x:v>0.22546231654985716</x:v>
      </x:c>
      <x:c r="I37" s="22" t="n">
        <x:v>0.22385460449647118</x:v>
      </x:c>
      <x:c r="J37" s="22" t="n">
        <x:v>-0.0016077120533859734</x:v>
      </x:c>
      <x:c r="K37" s="22" t="n">
        <x:v>0.00695319156864258</x:v>
      </x:c>
      <x:c r="L37" s="22" t="n">
        <x:v>-0.00695319156864258</x:v>
      </x:c>
    </x:row>
    <x:row r="38">
      <x:c r="A38" t="str">
        <x:v>Namibia</x:v>
      </x:c>
      <x:c r="B38" t="str">
        <x:v>Namibia</x:v>
      </x:c>
      <x:c r="C38" t="str">
        <x:v>纳米比亚</x:v>
      </x:c>
      <x:c r="D38" s="24" t="n">
        <x:v>184.17</x:v>
      </x:c>
      <x:c r="E38" s="24" t="n">
        <x:v>193.65</x:v>
      </x:c>
      <x:c r="F38" s="24" t="n">
        <x:v>661.69</x:v>
      </x:c>
      <x:c r="G38" s="24" t="n">
        <x:v>790.69</x:v>
      </x:c>
      <x:c r="H38" s="22" t="n">
        <x:v>0.2783327540086747</x:v>
      </x:c>
      <x:c r="I38" s="22" t="n">
        <x:v>0.24491267121122057</x:v>
      </x:c>
      <x:c r="J38" s="22" t="n">
        <x:v>-0.03342008279745412</x:v>
      </x:c>
      <x:c r="K38" s="22" t="n">
        <x:v>0.009985750401347993</x:v>
      </x:c>
      <x:c r="L38" s="22" t="n">
        <x:v>-0.009985750401347993</x:v>
      </x:c>
    </x:row>
    <x:row r="39">
      <x:c r="A39" t="str">
        <x:v>Niger</x:v>
      </x:c>
      <x:c r="B39" t="str">
        <x:v>Niger</x:v>
      </x:c>
      <x:c r="C39" t="str">
        <x:v>尼日尔</x:v>
      </x:c>
      <x:c r="D39" s="24" t="n">
        <x:v>336.6</x:v>
      </x:c>
      <x:c r="E39" s="24" t="n">
        <x:v>448.6</x:v>
      </x:c>
      <x:c r="F39" s="24" t="n">
        <x:v>350.57</x:v>
      </x:c>
      <x:c r="G39" s="24" t="n">
        <x:v>531.59</x:v>
      </x:c>
      <x:c r="H39" s="22" t="n">
        <x:v>0.9601506118606841</x:v>
      </x:c>
      <x:c r="I39" s="22" t="n">
        <x:v>0.8438834440075998</x:v>
      </x:c>
      <x:c r="J39" s="22" t="n">
        <x:v>-0.11626716785308422</x:v>
      </x:c>
      <x:c r="K39" s="22" t="n">
        <x:v>0.05729930717153575</x:v>
      </x:c>
      <x:c r="L39" s="22" t="n">
        <x:v>-0.05729930717153575</x:v>
      </x:c>
    </x:row>
    <x:row r="40">
      <x:c r="A40" t="str">
        <x:v>Nigeria</x:v>
      </x:c>
      <x:c r="B40" t="str">
        <x:v>Nigeria</x:v>
      </x:c>
      <x:c r="C40" t="str">
        <x:v>尼日利亚</x:v>
      </x:c>
      <x:c r="D40" s="24" t="n">
        <x:v>10894</x:v>
      </x:c>
      <x:c r="E40" s="24" t="n">
        <x:v>11327.3</x:v>
      </x:c>
      <x:c r="F40" s="24" t="n">
        <x:v>13046.26</x:v>
      </x:c>
      <x:c r="G40" s="24" t="n">
        <x:v>14390.56</x:v>
      </x:c>
      <x:c r="H40" s="22" t="n">
        <x:v>0.8350285829042193</x:v>
      </x:c>
      <x:c r="I40" s="22" t="n">
        <x:v>0.7871340656652694</x:v>
      </x:c>
      <x:c r="J40" s="22" t="n">
        <x:v>-0.047894517238949885</x:v>
      </x:c>
      <x:c r="K40" s="22" t="n">
        <x:v>0.007800010250991818</x:v>
      </x:c>
      <x:c r="L40" s="22" t="n">
        <x:v>-0.007800010250991818</x:v>
      </x:c>
    </x:row>
    <x:row r="41">
      <x:c r="A41" t="str">
        <x:v>Rwanda</x:v>
      </x:c>
      <x:c r="B41" t="str">
        <x:v>Rwanda</x:v>
      </x:c>
      <x:c r="C41" t="str">
        <x:v>卢旺达</x:v>
      </x:c>
      <x:c r="D41" s="24" t="n">
        <x:v>114.14</x:v>
      </x:c>
      <x:c r="E41" s="24" t="n">
        <x:v>149.14</x:v>
      </x:c>
      <x:c r="F41" s="24" t="n">
        <x:v>231.04</x:v>
      </x:c>
      <x:c r="G41" s="24" t="n">
        <x:v>301.13</x:v>
      </x:c>
      <x:c r="H41" s="22" t="n">
        <x:v>0.4940270083102493</x:v>
      </x:c>
      <x:c r="I41" s="22" t="n">
        <x:v>0.49526782452761264</x:v>
      </x:c>
      <x:c r="J41" s="22" t="n">
        <x:v>0.0012408162173633275</x:v>
      </x:c>
      <x:c r="K41" s="22" t="n">
        <x:v>0.0530838825794385</x:v>
      </x:c>
      <x:c r="L41" s="22" t="n">
        <x:v>-0.0530838825794385</x:v>
      </x:c>
    </x:row>
    <x:row r="42">
      <x:c r="A42" t="str">
        <x:v>Sao Tome Prn</x:v>
      </x:c>
      <x:c r="B42" t="str">
        <x:v>Sao Tome and Principe</x:v>
      </x:c>
      <x:c r="C42" t="str">
        <x:v>圣多美和普林西比</x:v>
      </x:c>
      <x:c r="D42" s="24" t="n">
        <x:v>27.6</x:v>
      </x:c>
      <x:c r="E42" s="24" t="n">
        <x:v>28.3</x:v>
      </x:c>
      <x:c r="F42" s="24" t="n">
        <x:v>29.87</x:v>
      </x:c>
      <x:c r="G42" s="24" t="n">
        <x:v>30.77</x:v>
      </x:c>
      <x:c r="H42" s="22" t="n">
        <x:v>0.9240040174087714</x:v>
      </x:c>
      <x:c r="I42" s="22" t="n">
        <x:v>0.9197270068248294</x:v>
      </x:c>
      <x:c r="J42" s="22" t="n">
        <x:v>-0.00427701058394192</x:v>
      </x:c>
      <x:c r="K42" s="22" t="n">
        <x:v>0.004836159639442972</x:v>
      </x:c>
      <x:c r="L42" s="22" t="n">
        <x:v>-0.004836159639442972</x:v>
      </x:c>
    </x:row>
    <x:row r="43">
      <x:c r="A43" t="str">
        <x:v>Senegal</x:v>
      </x:c>
      <x:c r="B43" t="str">
        <x:v>Senegal</x:v>
      </x:c>
      <x:c r="C43" t="str">
        <x:v>塞内加尔</x:v>
      </x:c>
      <x:c r="D43" s="24" t="n">
        <x:v>978.7</x:v>
      </x:c>
      <x:c r="E43" s="24" t="n">
        <x:v>1091.15</x:v>
      </x:c>
      <x:c r="F43" s="24" t="n">
        <x:v>1162.31</x:v>
      </x:c>
      <x:c r="G43" s="24" t="n">
        <x:v>1529.96</x:v>
      </x:c>
      <x:c r="H43" s="22" t="n">
        <x:v>0.8420300952413728</x:v>
      </x:c>
      <x:c r="I43" s="22" t="n">
        <x:v>0.7131885800935973</x:v>
      </x:c>
      <x:c r="J43" s="22" t="n">
        <x:v>-0.12884151514777553</x:v>
      </x:c>
      <x:c r="K43" s="22" t="n">
        <x:v>0.02173142143164668</x:v>
      </x:c>
      <x:c r="L43" s="22" t="n">
        <x:v>-0.02173142143164668</x:v>
      </x:c>
    </x:row>
    <x:row r="44">
      <x:c r="A44" t="str">
        <x:v>Seychelles</x:v>
      </x:c>
      <x:c r="B44" t="str">
        <x:v>Seychelles</x:v>
      </x:c>
      <x:c r="C44" t="str">
        <x:v>塞舌尔</x:v>
      </x:c>
      <x:c r="D44" s="24" t="n">
        <x:v>102.5</x:v>
      </x:c>
      <x:c r="E44" s="24" t="n">
        <x:v>106.08</x:v>
      </x:c>
      <x:c r="F44" s="24" t="n">
        <x:v>113.66</x:v>
      </x:c>
      <x:c r="G44" s="24" t="n">
        <x:v>129.83</x:v>
      </x:c>
      <x:c r="H44" s="22" t="n">
        <x:v>0.9018124230160127</x:v>
      </x:c>
      <x:c r="I44" s="22" t="n">
        <x:v>0.8170684741585149</x:v>
      </x:c>
      <x:c r="J44" s="22" t="n">
        <x:v>-0.08474394885749781</x:v>
      </x:c>
      <x:c r="K44" s="22" t="n">
        <x:v>0.006800921189345744</x:v>
      </x:c>
      <x:c r="L44" s="22" t="n">
        <x:v>-0.006800921189345744</x:v>
      </x:c>
    </x:row>
    <x:row r="45">
      <x:c r="A45" t="str">
        <x:v>Sierra Leone</x:v>
      </x:c>
      <x:c r="B45" t="str">
        <x:v>Sierra Leone</x:v>
      </x:c>
      <x:c r="C45" t="str">
        <x:v>塞拉利昂</x:v>
      </x:c>
      <x:c r="D45" s="24" t="n">
        <x:v>102.7</x:v>
      </x:c>
      <x:c r="E45" s="24" t="n">
        <x:v>138.7</x:v>
      </x:c>
      <x:c r="F45" s="24" t="n">
        <x:v>198.89</x:v>
      </x:c>
      <x:c r="G45" s="24" t="n">
        <x:v>253.81</x:v>
      </x:c>
      <x:c r="H45" s="22" t="n">
        <x:v>0.5163658303584897</x:v>
      </x:c>
      <x:c r="I45" s="22" t="n">
        <x:v>0.5464717702218195</x:v>
      </x:c>
      <x:c r="J45" s="22" t="n">
        <x:v>0.030105939863329767</x:v>
      </x:c>
      <x:c r="K45" s="22" t="n">
        <x:v>0.05959903020548687</x:v>
      </x:c>
      <x:c r="L45" s="22" t="n">
        <x:v>-0.05959903020548687</x:v>
      </x:c>
    </x:row>
    <x:row r="46">
      <x:c r="A46" t="str">
        <x:v>Somalia</x:v>
      </x:c>
      <x:c r="B46" t="str">
        <x:v>Somalia</x:v>
      </x:c>
      <x:c r="C46" t="str">
        <x:v>索马里</x:v>
      </x:c>
      <x:c r="D46" s="24" t="n">
        <x:v>100</x:v>
      </x:c>
      <x:c r="E46" s="24" t="n">
        <x:v>106</x:v>
      </x:c>
      <x:c r="F46" s="24" t="n">
        <x:v>105.82</x:v>
      </x:c>
      <x:c r="G46" s="24" t="n">
        <x:v>155.46</x:v>
      </x:c>
      <x:c r="H46" s="22" t="n">
        <x:v>0.9450009450009451</x:v>
      </x:c>
      <x:c r="I46" s="22" t="n">
        <x:v>0.6818474205583429</x:v>
      </x:c>
      <x:c r="J46" s="22" t="n">
        <x:v>-0.2631535244426022</x:v>
      </x:c>
      <x:c r="K46" s="22" t="n">
        <x:v>0.01154166352412922</x:v>
      </x:c>
      <x:c r="L46" s="22" t="n">
        <x:v>-0.01154166352412922</x:v>
      </x:c>
    </x:row>
    <x:row r="47">
      <x:c r="A47" t="str">
        <x:v>South Africa</x:v>
      </x:c>
      <x:c r="B47" t="str">
        <x:v>South Africa</x:v>
      </x:c>
      <x:c r="C47" t="str">
        <x:v>南非</x:v>
      </x:c>
      <x:c r="D47" s="24" t="n">
        <x:v>45551</x:v>
      </x:c>
      <x:c r="E47" s="24" t="n">
        <x:v>48978.4</x:v>
      </x:c>
      <x:c r="F47" s="24" t="n">
        <x:v>53894.47</x:v>
      </x:c>
      <x:c r="G47" s="24" t="n">
        <x:v>64174.47</x:v>
      </x:c>
      <x:c r="H47" s="22" t="n">
        <x:v>0.8451887549872927</x:v>
      </x:c>
      <x:c r="I47" s="22" t="n">
        <x:v>0.7632069263680713</x:v>
      </x:c>
      <x:c r="J47" s="22" t="n">
        <x:v>-0.08198182861922143</x:v>
      </x:c>
      <x:c r="K47" s="22" t="n">
        <x:v>0.01450905420307862</x:v>
      </x:c>
      <x:c r="L47" s="22" t="n">
        <x:v>-0.01450905420307862</x:v>
      </x:c>
    </x:row>
    <x:row r="48">
      <x:c r="A48" t="str">
        <x:v>South Sudan</x:v>
      </x:c>
      <x:c r="B48" t="str">
        <x:v>South Sudan</x:v>
      </x:c>
      <x:c r="C48" t="str">
        <x:v>南苏丹</x:v>
      </x:c>
      <x:c r="D48" s="24" t="n">
        <x:v>131.4</x:v>
      </x:c>
      <x:c r="E48" s="24" t="n">
        <x:v>196.4</x:v>
      </x:c>
      <x:c r="F48" s="24" t="n">
        <x:v>133.63</x:v>
      </x:c>
      <x:c r="G48" s="24" t="n">
        <x:v>214.14</x:v>
      </x:c>
      <x:c r="H48" s="22" t="n">
        <x:v>0.9833121305096162</x:v>
      </x:c>
      <x:c r="I48" s="22" t="n">
        <x:v>0.917157000093397</x:v>
      </x:c>
      <x:c r="J48" s="22" t="n">
        <x:v>-0.06615513041621923</x:v>
      </x:c>
      <x:c r="K48" s="22" t="n">
        <x:v>0.07988089669929473</x:v>
      </x:c>
      <x:c r="L48" s="22" t="n">
        <x:v>-0.07988089669929473</x:v>
      </x:c>
    </x:row>
    <x:row r="49">
      <x:c r="A49" t="str">
        <x:v>Sudan</x:v>
      </x:c>
      <x:c r="B49" t="str">
        <x:v>Sudan</x:v>
      </x:c>
      <x:c r="C49" t="str">
        <x:v>苏丹</x:v>
      </x:c>
      <x:c r="D49" s="24" t="n">
        <x:v>1932</x:v>
      </x:c>
      <x:c r="E49" s="24" t="n">
        <x:v>1935</x:v>
      </x:c>
      <x:c r="F49" s="24" t="n">
        <x:v>3672.92</x:v>
      </x:c>
      <x:c r="G49" s="24" t="n">
        <x:v>3806.29</x:v>
      </x:c>
      <x:c r="H49" s="22" t="n">
        <x:v>0.5260120013504241</x:v>
      </x:c>
      <x:c r="I49" s="22" t="n">
        <x:v>0.5083690417703328</x:v>
      </x:c>
      <x:c r="J49" s="22" t="n">
        <x:v>-0.017642959580091322</x:v>
      </x:c>
      <x:c r="K49" s="22" t="n">
        <x:v>0.00031015772563822706</x:v>
      </x:c>
      <x:c r="L49" s="22" t="n">
        <x:v>-0.00031015772563822706</x:v>
      </x:c>
    </x:row>
    <x:row r="50">
      <x:c r="A50" t="str">
        <x:v>Tanzania</x:v>
      </x:c>
      <x:c r="B50" t="str">
        <x:v>United Republic of Tanzania</x:v>
      </x:c>
      <x:c r="C50" t="str">
        <x:v>坦桑尼亚</x:v>
      </x:c>
      <x:c r="D50" s="24" t="n">
        <x:v>1011.38</x:v>
      </x:c>
      <x:c r="E50" s="24" t="n">
        <x:v>1278.98</x:v>
      </x:c>
      <x:c r="F50" s="24" t="n">
        <x:v>1694.21</x:v>
      </x:c>
      <x:c r="G50" s="24" t="n">
        <x:v>2051.64</x:v>
      </x:c>
      <x:c r="H50" s="22" t="n">
        <x:v>0.5969625961362522</x:v>
      </x:c>
      <x:c r="I50" s="22" t="n">
        <x:v>0.6233939677526272</x:v>
      </x:c>
      <x:c r="J50" s="22" t="n">
        <x:v>0.026431371616374988</x:v>
      </x:c>
      <x:c r="K50" s="22" t="n">
        <x:v>0.0469080916706579</x:v>
      </x:c>
      <x:c r="L50" s="22" t="n">
        <x:v>-0.0469080916706579</x:v>
      </x:c>
    </x:row>
    <x:row r="51">
      <x:c r="A51" t="str">
        <x:v>Togo</x:v>
      </x:c>
      <x:c r="B51" t="str">
        <x:v>Togo</x:v>
      </x:c>
      <x:c r="C51" t="str">
        <x:v>多哥</x:v>
      </x:c>
      <x:c r="D51" s="24" t="n">
        <x:v>172.33</x:v>
      </x:c>
      <x:c r="E51" s="24" t="n">
        <x:v>219.33</x:v>
      </x:c>
      <x:c r="F51" s="24" t="n">
        <x:v>243.34</x:v>
      </x:c>
      <x:c r="G51" s="24" t="n">
        <x:v>352.87</x:v>
      </x:c>
      <x:c r="H51" s="22" t="n">
        <x:v>0.7081860770937783</x:v>
      </x:c>
      <x:c r="I51" s="22" t="n">
        <x:v>0.6215603480035141</x:v>
      </x:c>
      <x:c r="J51" s="22" t="n">
        <x:v>-0.08662572909026423</x:v>
      </x:c>
      <x:c r="K51" s="22" t="n">
        <x:v>0.04798582610457558</x:v>
      </x:c>
      <x:c r="L51" s="22" t="n">
        <x:v>-0.04798582610457558</x:v>
      </x:c>
    </x:row>
    <x:row r="52">
      <x:c r="A52" t="str">
        <x:v>Tunisia</x:v>
      </x:c>
      <x:c r="B52" t="str">
        <x:v>Tunisia</x:v>
      </x:c>
      <x:c r="C52" t="str">
        <x:v>突尼斯</x:v>
      </x:c>
      <x:c r="D52" s="24" t="n">
        <x:v>4774</x:v>
      </x:c>
      <x:c r="E52" s="24" t="n">
        <x:v>6072</x:v>
      </x:c>
      <x:c r="F52" s="24" t="n">
        <x:v>5148.76</x:v>
      </x:c>
      <x:c r="G52" s="24" t="n">
        <x:v>6890.92</x:v>
      </x:c>
      <x:c r="H52" s="22" t="n">
        <x:v>0.9272135426782371</x:v>
      </x:c>
      <x:c r="I52" s="22" t="n">
        <x:v>0.8811595548925252</x:v>
      </x:c>
      <x:c r="J52" s="22" t="n">
        <x:v>-0.0460539877857119</x:v>
      </x:c>
      <x:c r="K52" s="22" t="n">
        <x:v>0.048091748596548814</x:v>
      </x:c>
      <x:c r="L52" s="22" t="n">
        <x:v>-0.048091748596548814</x:v>
      </x:c>
    </x:row>
    <x:row r="53">
      <x:c r="A53" t="str">
        <x:v>Uganda</x:v>
      </x:c>
      <x:c r="B53" t="str">
        <x:v>Uganda</x:v>
      </x:c>
      <x:c r="C53" t="str">
        <x:v>乌干达</x:v>
      </x:c>
      <x:c r="D53" s="24" t="n">
        <x:v>102.68</x:v>
      </x:c>
      <x:c r="E53" s="24" t="n">
        <x:v>101.08</x:v>
      </x:c>
      <x:c r="F53" s="24" t="n">
        <x:v>997.58</x:v>
      </x:c>
      <x:c r="G53" s="24" t="n">
        <x:v>1714.73</x:v>
      </x:c>
      <x:c r="H53" s="22" t="n">
        <x:v>0.10292908839391328</x:v>
      </x:c>
      <x:c r="I53" s="22" t="n">
        <x:v>0.05894805596216314</x:v>
      </x:c>
      <x:c r="J53" s="22" t="n">
        <x:v>-0.04398103243175014</x:v>
      </x:c>
      <x:c r="K53" s="22" t="n">
        <x:v>-0.0031104826014969333</x:v>
      </x:c>
      <x:c r="L53" s="22" t="n">
        <x:v>0.0031104826014969333</x:v>
      </x:c>
    </x:row>
    <x:row r="54">
      <x:c r="A54" t="str">
        <x:v>Zambia</x:v>
      </x:c>
      <x:c r="B54" t="str">
        <x:v>Zambia</x:v>
      </x:c>
      <x:c r="C54" t="str">
        <x:v>赞比亚</x:v>
      </x:c>
      <x:c r="D54" s="24" t="n">
        <x:v>523.6</x:v>
      </x:c>
      <x:c r="E54" s="24" t="n">
        <x:v>524.8</x:v>
      </x:c>
      <x:c r="F54" s="24" t="n">
        <x:v>2970.24</x:v>
      </x:c>
      <x:c r="G54" s="24" t="n">
        <x:v>3866.49</x:v>
      </x:c>
      <x:c r="H54" s="22" t="n">
        <x:v>0.1762820512820513</x:v>
      </x:c>
      <x:c r="I54" s="22" t="n">
        <x:v>0.13573033940343826</x:v>
      </x:c>
      <x:c r="J54" s="22" t="n">
        <x:v>-0.040551711878613034</x:v>
      </x:c>
      <x:c r="K54" s="22" t="n">
        <x:v>0.0004569689726015014</x:v>
      </x:c>
      <x:c r="L54" s="22" t="n">
        <x:v>-0.0004569689726015014</x:v>
      </x:c>
    </x:row>
    <x:row r="55">
      <x:c r="A55" t="str">
        <x:v>Zimbabwe</x:v>
      </x:c>
      <x:c r="B55" t="str">
        <x:v>Zimbabwe</x:v>
      </x:c>
      <x:c r="C55" t="str">
        <x:v>津巴布韦</x:v>
      </x:c>
      <x:c r="D55" s="24" t="n">
        <x:v>1200.75</x:v>
      </x:c>
      <x:c r="E55" s="24" t="n">
        <x:v>1850.75</x:v>
      </x:c>
      <x:c r="F55" s="24" t="n">
        <x:v>2389.37</x:v>
      </x:c>
      <x:c r="G55" s="24" t="n">
        <x:v>3076.94</x:v>
      </x:c>
      <x:c r="H55" s="22" t="n">
        <x:v>0.5025383260022517</x:v>
      </x:c>
      <x:c r="I55" s="22" t="n">
        <x:v>0.60149044180257</x:v>
      </x:c>
      <x:c r="J55" s="22" t="n">
        <x:v>0.09895211580031837</x:v>
      </x:c>
      <x:c r="K55" s="22" t="n">
        <x:v>0.08647046202386584</x:v>
      </x:c>
      <x:c r="L55" s="22" t="n">
        <x:v>-0.08647046202386584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50" t="str">
        <x:v>IRENA Label</x:v>
      </x:c>
      <x:c r="B1" s="50" t="str">
        <x:v>Country EN</x:v>
      </x:c>
      <x:c r="C1" s="50" t="str">
        <x:v>Country CN</x:v>
      </x:c>
      <x:c r="D1" s="50" t="str">
        <x:v>Original Table 2 Class</x:v>
      </x:c>
      <x:c r="E1" s="50" t="str">
        <x:v>L1 Regional RE Capacity Share</x:v>
      </x:c>
      <x:c r="F1" s="50" t="str">
        <x:v>L2 Long-run Increment Contribution</x:v>
      </x:c>
      <x:c r="G1" s="50" t="str">
        <x:v>L3 Recent Increment Contribution 2021-2025</x:v>
      </x:c>
      <x:c r="H1" s="50" t="str">
        <x:v>Long-run Increment Rank</x:v>
      </x:c>
      <x:c r="I1" s="50" t="str">
        <x:v>L4 Rank-induced Leadership Contribution</x:v>
      </x:c>
      <x:c r="J1" s="50" t="str">
        <x:v>D1 Effective RE Capacity Penetration</x:v>
      </x:c>
      <x:c r="K1" s="50" t="str">
        <x:v>D2 Effective RE Production Penetration</x:v>
      </x:c>
      <x:c r="L1" s="50" t="str">
        <x:v>D3 Access-adjusted Renewable W per Capita</x:v>
      </x:c>
      <x:c r="M1" s="50" t="str">
        <x:v>D4 Access Improvement 2018-2023</x:v>
      </x:c>
      <x:c r="N1" s="50" t="str">
        <x:v>M1 Long-run RE Log Growth</x:v>
      </x:c>
      <x:c r="O1" s="50" t="str">
        <x:v>M2 Recent RE Log Growth</x:v>
      </x:c>
      <x:c r="P1" s="50" t="str">
        <x:v>M3 RE Capacity Share Change</x:v>
      </x:c>
      <x:c r="Q1" s="50" t="str">
        <x:v>M4 RE Production Share Change</x:v>
      </x:c>
      <x:c r="R1" s="50" t="str">
        <x:v>M5 Nonrenewable Capacity Path Adjustment</x:v>
      </x:c>
    </x:row>
    <x:row r="2">
      <x:c r="A2" t="str">
        <x:v>Algeria</x:v>
      </x:c>
      <x:c r="B2" t="str">
        <x:v>Algeria</x:v>
      </x:c>
      <x:c r="C2" t="str">
        <x:v>阿尔及利亚</x:v>
      </x:c>
      <x:c r="D2" t="str">
        <x:f>'Country_Summary'!C2</x:f>
        <x:v>Lagging</x:v>
      </x:c>
      <x:c r="E2" s="28" t="n">
        <x:f>'Country_Summary'!F2/SUM('Country_Summary'!$F$2:$F$55)</x:f>
        <x:v>0.0073793941775229304</x:v>
      </x:c>
      <x:c r="F2" s="28" t="n">
        <x:f>'Country_Summary'!N2/SUM('Country_Summary'!$N$2:$N$55)</x:f>
        <x:v>0.002256226963029152</x:v>
      </x:c>
      <x:c r="G2" s="28" t="n">
        <x:f>('Country_Summary'!F2-'Country_Summary'!E2)/(SUM('Country_Summary'!$F$2:$F$55)-SUM('Country_Summary'!$E$2:$E$55))</x:f>
        <x:v>0.003350260967696431</x:v>
      </x:c>
      <x:c r="H2" t="n">
        <x:f>1+COUNTIF('Country_Summary'!$N$2:$N$55,"&gt;"&amp;'Country_Summary'!N2)</x:f>
        <x:v>31</x:v>
      </x:c>
      <x:c r="I2" s="28" t="n">
        <x:f>F2*((54-H2)/53)</x:f>
        <x:v>0.0009791173613145378</x:v>
      </x:c>
      <x:c r="J2" s="28" t="n">
        <x:f>SQRT(('Country_Summary'!I2/100)*('Country_Summary'!AF2/100))</x:f>
        <x:v>0.14472525695261348</x:v>
      </x:c>
      <x:c r="K2" s="28" t="n">
        <x:f>SQRT(('Country_Summary'!K2/100)*('Country_Summary'!AF2/100))</x:f>
        <x:v>0.09986991538997117</x:v>
      </x:c>
      <x:c r="L2" s="28" t="n">
        <x:f>('Country_Summary'!AF2/100)*LN(1+'Country_Summary'!L2)</x:f>
        <x:v>2.617844453823535</x:v>
      </x:c>
      <x:c r="M2" s="28" t="n">
        <x:f>('Country_Summary'!AF2-'Country_Summary'!AA2)/100</x:f>
        <x:v>0.0009999999999999432</x:v>
      </x:c>
      <x:c r="N2" s="28" t="n">
        <x:f>(LN(1+'Country_Summary'!F2)-LN(1+'Country_Summary'!D2))/9</x:f>
        <x:v>0.020405704913772915</x:v>
      </x:c>
      <x:c r="O2" s="28" t="n">
        <x:f>(LN(1+'Country_Summary'!F2)-LN(1+'Country_Summary'!E2))/4</x:f>
        <x:v>0.04293661042940933</x:v>
      </x:c>
      <x:c r="P2" s="28" t="n">
        <x:f>('Country_Summary'!I2-'Country_Summary'!H2)/100</x:f>
        <x:v>-0.003999999999999999</x:v>
      </x:c>
      <x:c r="Q2" s="28" t="n">
        <x:f>('Country_Summary'!K2-'Country_Summary'!J2)/100</x:f>
        <x:v>0.0030000000000000005</x:v>
      </x:c>
      <x:c r="R2" s="28" t="n">
        <x:f>-'Country_Summary'!AU2</x:f>
        <x:v>-0.046396501716054674</x:v>
      </x:c>
    </x:row>
    <x:row r="3">
      <x:c r="A3" t="str">
        <x:v>Angola</x:v>
      </x:c>
      <x:c r="B3" t="str">
        <x:v>Angola</x:v>
      </x:c>
      <x:c r="C3" t="str">
        <x:v>安哥拉</x:v>
      </x:c>
      <x:c r="D3" t="str">
        <x:f>'Country_Summary'!C3</x:f>
        <x:v>Balancing</x:v>
      </x:c>
      <x:c r="E3" s="28" t="n">
        <x:f>'Country_Summary'!F3/SUM('Country_Summary'!$F$2:$F$55)</x:f>
        <x:v>0.051140061147059906</x:v>
      </x:c>
      <x:c r="F3" s="28" t="n">
        <x:f>'Country_Summary'!N3/SUM('Country_Summary'!$N$2:$N$55)</x:f>
        <x:v>0.053903719423656876</x:v>
      </x:c>
      <x:c r="G3" s="28" t="n">
        <x:f>('Country_Summary'!F3-'Country_Summary'!E3)/(SUM('Country_Summary'!$F$2:$F$55)-SUM('Country_Summary'!$E$2:$E$55))</x:f>
        <x:v>0.013506841585555086</x:v>
      </x:c>
      <x:c r="H3" t="n">
        <x:f>1+COUNTIF('Country_Summary'!$N$2:$N$55,"&gt;"&amp;'Country_Summary'!N3)</x:f>
        <x:v>5</x:v>
      </x:c>
      <x:c r="I3" s="28" t="n">
        <x:f>F3*((54-H3)/53)</x:f>
        <x:v>0.0498355141841356</x:v>
      </x:c>
      <x:c r="J3" s="28" t="n">
        <x:f>SQRT(('Country_Summary'!I3/100)*('Country_Summary'!AF3/100))</x:f>
        <x:v>0.5713153244925258</x:v>
      </x:c>
      <x:c r="K3" s="28" t="n">
        <x:f>SQRT(('Country_Summary'!K3/100)*('Country_Summary'!AF3/100))</x:f>
        <x:v>0.6152258122023165</x:v>
      </x:c>
      <x:c r="L3" s="28" t="n">
        <x:f>('Country_Summary'!AF3/100)*LN(1+'Country_Summary'!L3)</x:f>
        <x:v>2.402396565533331</x:v>
      </x:c>
      <x:c r="M3" s="28" t="n">
        <x:f>('Country_Summary'!AF3-'Country_Summary'!AA3)/100</x:f>
        <x:v>0.05789999999999999</x:v>
      </x:c>
      <x:c r="N3" s="28" t="n">
        <x:f>(LN(1+'Country_Summary'!F3)-LN(1+'Country_Summary'!D3))/9</x:f>
        <x:v>0.09618085965552028</x:v>
      </x:c>
      <x:c r="O3" s="28" t="n">
        <x:f>(LN(1+'Country_Summary'!F3)-LN(1+'Country_Summary'!E3))/4</x:f>
        <x:v>0.02410974929697174</x:v>
      </x:c>
      <x:c r="P3" s="28" t="n">
        <x:f>('Country_Summary'!I3-'Country_Summary'!H3)/100</x:f>
        <x:v>0.08</x:v>
      </x:c>
      <x:c r="Q3" s="28" t="n">
        <x:f>('Country_Summary'!K3-'Country_Summary'!J3)/100</x:f>
        <x:v>0.21499999999999994</x:v>
      </x:c>
      <x:c r="R3" s="28" t="n">
        <x:f>-'Country_Summary'!AU3</x:f>
        <x:v>-0.0017035442807381783</x:v>
      </x:c>
    </x:row>
    <x:row r="4">
      <x:c r="A4" t="str">
        <x:v>Benin</x:v>
      </x:c>
      <x:c r="B4" t="str">
        <x:v>Benin</x:v>
      </x:c>
      <x:c r="C4" t="str">
        <x:v>贝宁</x:v>
      </x:c>
      <x:c r="D4" t="str">
        <x:f>'Country_Summary'!C4</x:f>
        <x:v>Lagging</x:v>
      </x:c>
      <x:c r="E4" s="28" t="n">
        <x:f>'Country_Summary'!F4/SUM('Country_Summary'!$F$2:$F$55)</x:f>
        <x:v>0.0004420269390862321</x:v>
      </x:c>
      <x:c r="F4" s="28" t="n">
        <x:f>'Country_Summary'!N4/SUM('Country_Summary'!$N$2:$N$55)</x:f>
        <x:v>0.0007371830671283368</x:v>
      </x:c>
      <x:c r="G4" s="28" t="n">
        <x:f>('Country_Summary'!F4-'Country_Summary'!E4)/(SUM('Country_Summary'!$F$2:$F$55)-SUM('Country_Summary'!$E$2:$E$55))</x:f>
        <x:v>0.0010227112427704894</x:v>
      </x:c>
      <x:c r="H4" t="n">
        <x:f>1+COUNTIF('Country_Summary'!$N$2:$N$55,"&gt;"&amp;'Country_Summary'!N4)</x:f>
        <x:v>41</x:v>
      </x:c>
      <x:c r="I4" s="28" t="n">
        <x:f>F4*((54-H4)/53)</x:f>
        <x:v>0.00018081848816355433</x:v>
      </x:c>
      <x:c r="J4" s="28" t="n">
        <x:f>SQRT(('Country_Summary'!I4/100)*('Country_Summary'!AF4/100))</x:f>
        <x:v>0.24580480060405654</x:v>
      </x:c>
      <x:c r="K4" s="28" t="n">
        <x:f>SQRT(('Country_Summary'!K4/100)*('Country_Summary'!AF4/100))</x:f>
        <x:v>0.14124446891825534</x:v>
      </x:c>
      <x:c r="L4" s="28" t="n">
        <x:f>('Country_Summary'!AF4/100)*LN(1+'Country_Summary'!L4)</x:f>
        <x:v>0.7140748920423597</x:v>
      </x:c>
      <x:c r="M4" s="28" t="n">
        <x:f>('Country_Summary'!AF4-'Country_Summary'!AA4)/100</x:f>
        <x:v>0.17990000000000003</x:v>
      </x:c>
      <x:c r="N4" s="28" t="n">
        <x:f>(LN(1+'Country_Summary'!F4)-LN(1+'Country_Summary'!D4))/9</x:f>
        <x:v>0.24718039461381489</x:v>
      </x:c>
      <x:c r="O4" s="28" t="n">
        <x:f>(LN(1+'Country_Summary'!F4)-LN(1+'Country_Summary'!E4))/4</x:f>
        <x:v>0.38286909274109715</x:v>
      </x:c>
      <x:c r="P4" s="28" t="n">
        <x:f>('Country_Summary'!I4-'Country_Summary'!H4)/100</x:f>
        <x:v>0.09299999999999999</x:v>
      </x:c>
      <x:c r="Q4" s="28" t="n">
        <x:f>('Country_Summary'!K4-'Country_Summary'!J4)/100</x:f>
        <x:v>0.022000000000000002</x:v>
      </x:c>
      <x:c r="R4" s="28" t="n">
        <x:f>-'Country_Summary'!AU4</x:f>
        <x:v>-0.10912820869027104</x:v>
      </x:c>
    </x:row>
    <x:row r="5">
      <x:c r="A5" t="str">
        <x:v>Botswana</x:v>
      </x:c>
      <x:c r="B5" t="str">
        <x:v>Botswana</x:v>
      </x:c>
      <x:c r="C5" t="str">
        <x:v>博茨瓦纳</x:v>
      </x:c>
      <x:c r="D5" t="str">
        <x:f>'Country_Summary'!C5</x:f>
        <x:v>Balancing</x:v>
      </x:c>
      <x:c r="E5" s="28" t="n">
        <x:f>'Country_Summary'!F5/SUM('Country_Summary'!$F$2:$F$55)</x:f>
        <x:v>0.002075070908488145</x:v>
      </x:c>
      <x:c r="F5" s="28" t="n">
        <x:f>'Country_Summary'!N5/SUM('Country_Summary'!$N$2:$N$55)</x:f>
        <x:v>0.003708254216463755</x:v>
      </x:c>
      <x:c r="G5" s="28" t="n">
        <x:f>('Country_Summary'!F5-'Country_Summary'!E5)/(SUM('Country_Summary'!$F$2:$F$55)-SUM('Country_Summary'!$E$2:$E$55))</x:f>
        <x:v>0.005748342502468614</x:v>
      </x:c>
      <x:c r="H5" t="n">
        <x:f>1+COUNTIF('Country_Summary'!$N$2:$N$55,"&gt;"&amp;'Country_Summary'!N5)</x:f>
        <x:v>24</x:v>
      </x:c>
      <x:c r="I5" s="28" t="n">
        <x:f>F5*((54-H5)/53)</x:f>
        <x:v>0.002099011820639861</x:v>
      </x:c>
      <x:c r="J5" s="28" t="n">
        <x:f>SQRT(('Country_Summary'!I5/100)*('Country_Summary'!AF5/100))</x:f>
        <x:v>0.344438673786786</x:v>
      </x:c>
      <x:c r="K5" s="28" t="n">
        <x:f>SQRT(('Country_Summary'!K5/100)*('Country_Summary'!AF5/100))</x:f>
        <x:v>0.039</x:v>
      </x:c>
      <x:c r="L5" s="28" t="n">
        <x:f>('Country_Summary'!AF5/100)*LN(1+'Country_Summary'!L5)</x:f>
        <x:v>1.239037430464878</x:v>
      </x:c>
      <x:c r="M5" s="28" t="n">
        <x:f>('Country_Summary'!AF5-'Country_Summary'!AA5)/100</x:f>
        <x:v>0.07799999999999997</x:v>
      </x:c>
      <x:c r="N5" s="28" t="n">
        <x:f>(LN(1+'Country_Summary'!F5)-LN(1+'Country_Summary'!D5))/9</x:f>
        <x:v>0.41661156399226346</x:v>
      </x:c>
      <x:c r="O5" s="28" t="n">
        <x:f>(LN(1+'Country_Summary'!F5)-LN(1+'Country_Summary'!E5))/4</x:f>
        <x:v>0.7974720719987372</x:v>
      </x:c>
      <x:c r="P5" s="28" t="n">
        <x:f>('Country_Summary'!I5-'Country_Summary'!H5)/100</x:f>
        <x:v>0.152</x:v>
      </x:c>
      <x:c r="Q5" s="28" t="n">
        <x:f>('Country_Summary'!K5-'Country_Summary'!J5)/100</x:f>
        <x:v>0</x:v>
      </x:c>
      <x:c r="R5" s="28" t="n">
        <x:f>-'Country_Summary'!AU5</x:f>
        <x:v>0</x:v>
      </x:c>
    </x:row>
    <x:row r="6">
      <x:c r="A6" t="str">
        <x:v>Burkina Faso</x:v>
      </x:c>
      <x:c r="B6" t="str">
        <x:v>Burkina Faso</x:v>
      </x:c>
      <x:c r="C6" t="str">
        <x:v>布基纳法索</x:v>
      </x:c>
      <x:c r="D6" t="str">
        <x:f>'Country_Summary'!C6</x:f>
        <x:v>Lagging</x:v>
      </x:c>
      <x:c r="E6" s="28" t="n">
        <x:f>'Country_Summary'!F6/SUM('Country_Summary'!$F$2:$F$55)</x:f>
        <x:v>0.003081910047517896</x:v>
      </x:c>
      <x:c r="F6" s="28" t="n">
        <x:f>'Country_Summary'!N6/SUM('Country_Summary'!$N$2:$N$55)</x:f>
        <x:v>0.004802859376745225</x:v>
      </x:c>
      <x:c r="G6" s="28" t="n">
        <x:f>('Country_Summary'!F6-'Country_Summary'!E6)/(SUM('Country_Summary'!$F$2:$F$55)-SUM('Country_Summary'!$E$2:$E$55))</x:f>
        <x:v>0.005607278882776132</x:v>
      </x:c>
      <x:c r="H6" t="n">
        <x:f>1+COUNTIF('Country_Summary'!$N$2:$N$55,"&gt;"&amp;'Country_Summary'!N6)</x:f>
        <x:v>22</x:v>
      </x:c>
      <x:c r="I6" s="28" t="n">
        <x:f>F6*((54-H6)/53)</x:f>
        <x:v>0.00289983962369523</x:v>
      </x:c>
      <x:c r="J6" s="28" t="n">
        <x:f>SQRT(('Country_Summary'!I6/100)*('Country_Summary'!AF6/100))</x:f>
        <x:v>0.2902991560442434</x:v>
      </x:c>
      <x:c r="K6" s="28" t="n">
        <x:f>SQRT(('Country_Summary'!K6/100)*('Country_Summary'!AF6/100))</x:f>
        <x:v>0.2619832055686013</x:v>
      </x:c>
      <x:c r="L6" s="28" t="n">
        <x:f>('Country_Summary'!AF6/100)*LN(1+'Country_Summary'!L6)</x:f>
        <x:v>0.5247364726469878</x:v>
      </x:c>
      <x:c r="M6" s="28" t="n">
        <x:f>('Country_Summary'!AF6-'Country_Summary'!AA6)/100</x:f>
        <x:v>0.07319999999999999</x:v>
      </x:c>
      <x:c r="N6" s="28" t="n">
        <x:f>(LN(1+'Country_Summary'!F6)-LN(1+'Country_Summary'!D6))/9</x:f>
        <x:v>0.21316790831857768</x:v>
      </x:c>
      <x:c r="O6" s="28" t="n">
        <x:f>(LN(1+'Country_Summary'!F6)-LN(1+'Country_Summary'!E6))/4</x:f>
        <x:v>0.24920739858954177</x:v>
      </x:c>
      <x:c r="P6" s="28" t="n">
        <x:f>('Country_Summary'!I6-'Country_Summary'!H6)/100</x:f>
        <x:v>0.27799999999999997</x:v>
      </x:c>
      <x:c r="Q6" s="28" t="n">
        <x:f>('Country_Summary'!K6-'Country_Summary'!J6)/100</x:f>
        <x:v>0.168</x:v>
      </x:c>
      <x:c r="R6" s="28" t="n">
        <x:f>-'Country_Summary'!AU6</x:f>
        <x:v>-0.06219634325596672</x:v>
      </x:c>
    </x:row>
    <x:row r="7">
      <x:c r="A7" t="str">
        <x:v>Burundi</x:v>
      </x:c>
      <x:c r="B7" t="str">
        <x:v>Burundi</x:v>
      </x:c>
      <x:c r="C7" t="str">
        <x:v>布隆迪</x:v>
      </x:c>
      <x:c r="D7" t="str">
        <x:f>'Country_Summary'!C7</x:f>
        <x:v>Lagging</x:v>
      </x:c>
      <x:c r="E7" s="28" t="n">
        <x:f>'Country_Summary'!F7/SUM('Country_Summary'!$F$2:$F$55)</x:f>
        <x:v>0.002185577643259703</x:v>
      </x:c>
      <x:c r="F7" s="28" t="n">
        <x:f>'Country_Summary'!N7/SUM('Country_Summary'!$N$2:$N$55)</x:f>
        <x:v>0.0027253434602926394</x:v>
      </x:c>
      <x:c r="G7" s="28" t="n">
        <x:f>('Country_Summary'!F7-'Country_Summary'!E7)/(SUM('Country_Summary'!$F$2:$F$55)-SUM('Country_Summary'!$E$2:$E$55))</x:f>
        <x:v>0.004126110876005078</x:v>
      </x:c>
      <x:c r="H7" t="n">
        <x:f>1+COUNTIF('Country_Summary'!$N$2:$N$55,"&gt;"&amp;'Country_Summary'!N7)</x:f>
        <x:v>29</x:v>
      </x:c>
      <x:c r="I7" s="28" t="n">
        <x:f>F7*((54-H7)/53)</x:f>
        <x:v>0.0012855393680625657</x:v>
      </x:c>
      <x:c r="J7" s="28" t="n">
        <x:f>SQRT(('Country_Summary'!I7/100)*('Country_Summary'!AF7/100))</x:f>
        <x:v>0.30047645498441306</x:v>
      </x:c>
      <x:c r="K7" s="28" t="n">
        <x:f>SQRT(('Country_Summary'!K7/100)*('Country_Summary'!AF7/100))</x:f>
        <x:v>0.3358134899017608</x:v>
      </x:c>
      <x:c r="L7" s="28" t="n">
        <x:f>('Country_Summary'!AF7/100)*LN(1+'Country_Summary'!L7)</x:f>
        <x:v>0.21694187230289444</x:v>
      </x:c>
      <x:c r="M7" s="28" t="n">
        <x:f>('Country_Summary'!AF7-'Country_Summary'!AA7)/100</x:f>
        <x:v>0.0208</x:v>
      </x:c>
      <x:c r="N7" s="28" t="n">
        <x:f>(LN(1+'Country_Summary'!F7)-LN(1+'Country_Summary'!D7))/9</x:f>
        <x:v>0.1271482820006894</x:v>
      </x:c>
      <x:c r="O7" s="28" t="n">
        <x:f>(LN(1+'Country_Summary'!F7)-LN(1+'Country_Summary'!E7))/4</x:f>
        <x:v>0.2650628551989158</x:v>
      </x:c>
      <x:c r="P7" s="28" t="n">
        <x:f>('Country_Summary'!I7-'Country_Summary'!H7)/100</x:f>
        <x:v>0.04600000000000008</x:v>
      </x:c>
      <x:c r="Q7" s="28" t="n">
        <x:f>('Country_Summary'!K7-'Country_Summary'!J7)/100</x:f>
        <x:v>0.058999999999999914</x:v>
      </x:c>
      <x:c r="R7" s="28" t="n">
        <x:f>-'Country_Summary'!AU7</x:f>
        <x:v>0</x:v>
      </x:c>
    </x:row>
    <x:row r="8">
      <x:c r="A8" t="str">
        <x:v>Cabo Verde</x:v>
      </x:c>
      <x:c r="B8" t="str">
        <x:v>Cabo Verde</x:v>
      </x:c>
      <x:c r="C8" t="str">
        <x:v>佛得角</x:v>
      </x:c>
      <x:c r="D8" t="str">
        <x:f>'Country_Summary'!C8</x:f>
        <x:v>Lagging</x:v>
      </x:c>
      <x:c r="E8" s="28" t="n">
        <x:f>'Country_Summary'!F8/SUM('Country_Summary'!$F$2:$F$55)</x:f>
        <x:v>0.0008963324042581928</x:v>
      </x:c>
      <x:c r="F8" s="28" t="n">
        <x:f>'Country_Summary'!N8/SUM('Country_Summary'!$N$2:$N$55)</x:f>
        <x:v>0.0008935552328828326</x:v>
      </x:c>
      <x:c r="G8" s="28" t="n">
        <x:f>('Country_Summary'!F8-'Country_Summary'!E8)/(SUM('Country_Summary'!$F$2:$F$55)-SUM('Country_Summary'!$E$2:$E$55))</x:f>
        <x:v>0.0010227112427704894</x:v>
      </x:c>
      <x:c r="H8" t="n">
        <x:f>1+COUNTIF('Country_Summary'!$N$2:$N$55,"&gt;"&amp;'Country_Summary'!N8)</x:f>
        <x:v>39</x:v>
      </x:c>
      <x:c r="I8" s="28" t="n">
        <x:f>F8*((54-H8)/53)</x:f>
        <x:v>0.0002528929904385375</x:v>
      </x:c>
      <x:c r="J8" s="28" t="n">
        <x:f>SQRT(('Country_Summary'!I8/100)*('Country_Summary'!AF8/100))</x:f>
        <x:v>0.5581899318332426</x:v>
      </x:c>
      <x:c r="K8" s="28" t="n">
        <x:f>SQRT(('Country_Summary'!K8/100)*('Country_Summary'!AF8/100))</x:f>
        <x:v>0.4604237178947236</x:v>
      </x:c>
      <x:c r="L8" s="28" t="n">
        <x:f>('Country_Summary'!AF8/100)*LN(1+'Country_Summary'!L8)</x:f>
        <x:v>4.645371756471051</x:v>
      </x:c>
      <x:c r="M8" s="28" t="n">
        <x:f>('Country_Summary'!AF8-'Country_Summary'!AA8)/100</x:f>
        <x:v>0.08399999999999991</x:v>
      </x:c>
      <x:c r="N8" s="28" t="n">
        <x:f>(LN(1+'Country_Summary'!F8)-LN(1+'Country_Summary'!D8))/9</x:f>
        <x:v>0.08641161873200096</x:v>
      </x:c>
      <x:c r="O8" s="28" t="n">
        <x:f>(LN(1+'Country_Summary'!F8)-LN(1+'Country_Summary'!E8))/4</x:f>
        <x:v>0.12435065085846264</x:v>
      </x:c>
      <x:c r="P8" s="28" t="n">
        <x:f>('Country_Summary'!I8-'Country_Summary'!H8)/100</x:f>
        <x:v>0.128</x:v>
      </x:c>
      <x:c r="Q8" s="28" t="n">
        <x:f>('Country_Summary'!K8-'Country_Summary'!J8)/100</x:f>
        <x:v>0.028000000000000008</x:v>
      </x:c>
      <x:c r="R8" s="28" t="n">
        <x:f>-'Country_Summary'!AU8</x:f>
        <x:v>-0.022309636095582695</x:v>
      </x:c>
    </x:row>
    <x:row r="9">
      <x:c r="A9" t="str">
        <x:v>Cameroon</x:v>
      </x:c>
      <x:c r="B9" t="str">
        <x:v>Cameroon</x:v>
      </x:c>
      <x:c r="C9" t="str">
        <x:v>喀麦隆</x:v>
      </x:c>
      <x:c r="D9" t="str">
        <x:f>'Country_Summary'!C9</x:f>
        <x:v>Balancing</x:v>
      </x:c>
      <x:c r="E9" s="28" t="n">
        <x:f>'Country_Summary'!F9/SUM('Country_Summary'!$F$2:$F$55)</x:f>
        <x:v>0.018417789128593005</x:v>
      </x:c>
      <x:c r="F9" s="28" t="n">
        <x:f>'Country_Summary'!N9/SUM('Country_Summary'!$N$2:$N$55)</x:f>
        <x:v>0.017133921590528314</x:v>
      </x:c>
      <x:c r="G9" s="28" t="n">
        <x:f>('Country_Summary'!F9-'Country_Summary'!E9)/(SUM('Country_Summary'!$F$2:$F$55)-SUM('Country_Summary'!$E$2:$E$55))</x:f>
        <x:v>0.02239384962618141</x:v>
      </x:c>
      <x:c r="H9" t="n">
        <x:f>1+COUNTIF('Country_Summary'!$N$2:$N$55,"&gt;"&amp;'Country_Summary'!N9)</x:f>
        <x:v>13</x:v>
      </x:c>
      <x:c r="I9" s="28" t="n">
        <x:f>F9*((54-H9)/53)</x:f>
        <x:v>0.013254543117201149</x:v>
      </x:c>
      <x:c r="J9" s="28" t="n">
        <x:f>SQRT(('Country_Summary'!I9/100)*('Country_Summary'!AF9/100))</x:f>
        <x:v>0.7002285341229676</x:v>
      </x:c>
      <x:c r="K9" s="28" t="n">
        <x:f>SQRT(('Country_Summary'!K9/100)*('Country_Summary'!AF9/100))</x:f>
        <x:v>0.7450637556612185</x:v>
      </x:c>
      <x:c r="L9" s="28" t="n">
        <x:f>('Country_Summary'!AF9/100)*LN(1+'Country_Summary'!L9)</x:f>
        <x:v>2.4747896298133356</x:v>
      </x:c>
      <x:c r="M9" s="28" t="n">
        <x:f>('Country_Summary'!AF9-'Country_Summary'!AA9)/100</x:f>
        <x:v>0.09799999999999998</x:v>
      </x:c>
      <x:c r="N9" s="28" t="n">
        <x:f>(LN(1+'Country_Summary'!F9)-LN(1+'Country_Summary'!D9))/9</x:f>
        <x:v>0.07948642255766074</x:v>
      </x:c>
      <x:c r="O9" s="28" t="n">
        <x:f>(LN(1+'Country_Summary'!F9)-LN(1+'Country_Summary'!E9))/4</x:f>
        <x:v>0.13750048076775667</x:v>
      </x:c>
      <x:c r="P9" s="28" t="n">
        <x:f>('Country_Summary'!I9-'Country_Summary'!H9)/100</x:f>
        <x:v>0.14099999999999993</x:v>
      </x:c>
      <x:c r="Q9" s="28" t="n">
        <x:f>('Country_Summary'!K9-'Country_Summary'!J9)/100</x:f>
        <x:v>0.025999999999999943</x:v>
      </x:c>
      <x:c r="R9" s="28" t="n">
        <x:f>-'Country_Summary'!AU9</x:f>
        <x:v>-0.00038696839501390913</x:v>
      </x:c>
    </x:row>
    <x:row r="10">
      <x:c r="A10" t="str">
        <x:v>Cent Afr Rep</x:v>
      </x:c>
      <x:c r="B10" t="str">
        <x:v>Central African Republic</x:v>
      </x:c>
      <x:c r="C10" t="str">
        <x:v>中非共和国</x:v>
      </x:c>
      <x:c r="D10" t="str">
        <x:f>'Country_Summary'!C10</x:f>
        <x:v>Lagging</x:v>
      </x:c>
      <x:c r="E10" s="28" t="n">
        <x:f>'Country_Summary'!F10/SUM('Country_Summary'!$F$2:$F$55)</x:f>
        <x:v>0.0007244330390579915</x:v>
      </x:c>
      <x:c r="F10" s="28" t="n">
        <x:f>'Country_Summary'!N10/SUM('Country_Summary'!$N$2:$N$55)</x:f>
        <x:v>0.0008935552328828326</x:v>
      </x:c>
      <x:c r="G10" s="28" t="n">
        <x:f>('Country_Summary'!F10-'Country_Summary'!E10)/(SUM('Country_Summary'!$F$2:$F$55)-SUM('Country_Summary'!$E$2:$E$55))</x:f>
        <x:v>0.001410636196924813</x:v>
      </x:c>
      <x:c r="H10" t="n">
        <x:f>1+COUNTIF('Country_Summary'!$N$2:$N$55,"&gt;"&amp;'Country_Summary'!N10)</x:f>
        <x:v>39</x:v>
      </x:c>
      <x:c r="I10" s="28" t="n">
        <x:f>F10*((54-H10)/53)</x:f>
        <x:v>0.0002528929904385375</x:v>
      </x:c>
      <x:c r="J10" s="28" t="n">
        <x:f>SQRT(('Country_Summary'!I10/100)*('Country_Summary'!AF10/100))</x:f>
        <x:v>0.2818091552806615</x:v>
      </x:c>
      <x:c r="K10" s="28" t="n">
        <x:f>SQRT(('Country_Summary'!K10/100)*('Country_Summary'!AF10/100))</x:f>
        <x:v>0.4138931021411205</x:v>
      </x:c>
      <x:c r="L10" s="28" t="n">
        <x:f>('Country_Summary'!AF10/100)*LN(1+'Country_Summary'!L10)</x:f>
        <x:v>0.43805619802229356</x:v>
      </x:c>
      <x:c r="M10" s="28" t="n">
        <x:f>('Country_Summary'!AF10-'Country_Summary'!AA10)/100</x:f>
        <x:v>0.029299999999999996</x:v>
      </x:c>
      <x:c r="N10" s="28" t="n">
        <x:f>(LN(1+'Country_Summary'!F10)-LN(1+'Country_Summary'!D10))/9</x:f>
        <x:v>0.12206803207423439</x:v>
      </x:c>
      <x:c r="O10" s="28" t="n">
        <x:f>(LN(1+'Country_Summary'!F10)-LN(1+'Country_Summary'!E10))/4</x:f>
        <x:v>0.2746530721670274</x:v>
      </x:c>
      <x:c r="P10" s="28" t="n">
        <x:f>('Country_Summary'!I10-'Country_Summary'!H10)/100</x:f>
        <x:v>-0.011999999999999957</x:v>
      </x:c>
      <x:c r="Q10" s="28" t="n">
        <x:f>('Country_Summary'!K10-'Country_Summary'!J10)/100</x:f>
        <x:v>0.01900000000000006</x:v>
      </x:c>
      <x:c r="R10" s="28" t="n">
        <x:f>-'Country_Summary'!AU10</x:f>
        <x:v>-0.23099304504384827</x:v>
      </x:c>
    </x:row>
    <x:row r="11">
      <x:c r="A11" t="str">
        <x:v>Chad</x:v>
      </x:c>
      <x:c r="B11" t="str">
        <x:v>Chad</x:v>
      </x:c>
      <x:c r="C11" t="str">
        <x:v>乍得</x:v>
      </x:c>
      <x:c r="D11" t="str">
        <x:f>'Country_Summary'!C11</x:f>
        <x:v>Lagging</x:v>
      </x:c>
      <x:c r="E11" s="28" t="n">
        <x:f>'Country_Summary'!F11/SUM('Country_Summary'!$F$2:$F$55)</x:f>
        <x:v>0.0013997519737730683</x:v>
      </x:c>
      <x:c r="F11" s="28" t="n">
        <x:f>'Country_Summary'!N11/SUM('Country_Summary'!$N$2:$N$55)</x:f>
        <x:v>0.0024796157712498605</x:v>
      </x:c>
      <x:c r="G11" s="28" t="n">
        <x:f>('Country_Summary'!F11-'Country_Summary'!E11)/(SUM('Country_Summary'!$F$2:$F$55)-SUM('Country_Summary'!$E$2:$E$55))</x:f>
        <x:v>0.0038439836366201156</x:v>
      </x:c>
      <x:c r="H11" t="n">
        <x:f>1+COUNTIF('Country_Summary'!$N$2:$N$55,"&gt;"&amp;'Country_Summary'!N11)</x:f>
        <x:v>30</x:v>
      </x:c>
      <x:c r="I11" s="28" t="n">
        <x:f>F11*((54-H11)/53)</x:f>
        <x:v>0.0011228448775471066</x:v>
      </x:c>
      <x:c r="J11" s="28" t="n">
        <x:f>SQRT(('Country_Summary'!I11/100)*('Country_Summary'!AF11/100))</x:f>
        <x:v>0.18605805545581736</x:v>
      </x:c>
      <x:c r="K11" s="28" t="n">
        <x:f>SQRT(('Country_Summary'!K11/100)*('Country_Summary'!AF11/100))</x:f>
        <x:v>0.07829559374575303</x:v>
      </x:c>
      <x:c r="L11" s="28" t="n">
        <x:f>('Country_Summary'!AF11/100)*LN(1+'Country_Summary'!L11)</x:f>
        <x:v>0.02191505112663334</x:v>
      </x:c>
      <x:c r="M11" s="28" t="n">
        <x:f>('Country_Summary'!AF11-'Country_Summary'!AA11)/100</x:f>
        <x:v>0.019599999999999992</x:v>
      </x:c>
      <x:c r="N11" s="28" t="n">
        <x:f>(LN(1+'Country_Summary'!F11)-LN(1+'Country_Summary'!D11))/9</x:f>
        <x:v>0.373181974138151</x:v>
      </x:c>
      <x:c r="O11" s="28" t="n">
        <x:f>(LN(1+'Country_Summary'!F11)-LN(1+'Country_Summary'!E11))/4</x:f>
        <x:v>0.7382931647837988</x:v>
      </x:c>
      <x:c r="P11" s="28" t="n">
        <x:f>('Country_Summary'!I11-'Country_Summary'!H11)/100</x:f>
        <x:v>0.27699999999999997</x:v>
      </x:c>
      <x:c r="Q11" s="28" t="n">
        <x:f>('Country_Summary'!K11-'Country_Summary'!J11)/100</x:f>
        <x:v>0.006999999999999993</x:v>
      </x:c>
      <x:c r="R11" s="28" t="n">
        <x:f>-'Country_Summary'!AU11</x:f>
        <x:v>0</x:v>
      </x:c>
    </x:row>
    <x:row r="12">
      <x:c r="A12" t="str">
        <x:v>Comoros</x:v>
      </x:c>
      <x:c r="B12" t="str">
        <x:v>Comoros</x:v>
      </x:c>
      <x:c r="C12" t="str">
        <x:v>科摩罗</x:v>
      </x:c>
      <x:c r="D12" t="str">
        <x:f>'Country_Summary'!C12</x:f>
        <x:v>Lagging</x:v>
      </x:c>
      <x:c r="E12" s="28" t="n">
        <x:f>'Country_Summary'!F12/SUM('Country_Summary'!$F$2:$F$55)</x:f>
        <x:v>0.00013506378694301535</x:v>
      </x:c>
      <x:c r="F12" s="28" t="n">
        <x:f>'Country_Summary'!N12/SUM('Country_Summary'!$N$2:$N$55)</x:f>
        <x:v>0.00020104992739863732</x:v>
      </x:c>
      <x:c r="G12" s="28" t="n">
        <x:f>('Country_Summary'!F12-'Country_Summary'!E12)/(SUM('Country_Summary'!$F$2:$F$55)-SUM('Country_Summary'!$E$2:$E$55))</x:f>
        <x:v>0.00021159542953872197</x:v>
      </x:c>
      <x:c r="H12" t="n">
        <x:f>1+COUNTIF('Country_Summary'!$N$2:$N$55,"&gt;"&amp;'Country_Summary'!N12)</x:f>
        <x:v>50</x:v>
      </x:c>
      <x:c r="I12" s="28" t="n">
        <x:f>F12*((54-H12)/53)</x:f>
        <x:v>0.000015173579426312249</x:v>
      </x:c>
      <x:c r="J12" s="28" t="n">
        <x:f>SQRT(('Country_Summary'!I12/100)*('Country_Summary'!AF12/100))</x:f>
        <x:v>0.5475384917976086</x:v>
      </x:c>
      <x:c r="K12" s="28" t="n">
        <x:f>SQRT(('Country_Summary'!K12/100)*('Country_Summary'!AF12/100))</x:f>
        <x:v>0.2696397596794657</x:v>
      </x:c>
      <x:c r="L12" s="28" t="n">
        <x:f>('Country_Summary'!AF12/100)*LN(1+'Country_Summary'!L12)</x:f>
        <x:v>1.637715444545019</x:v>
      </x:c>
      <x:c r="M12" s="28" t="n">
        <x:f>('Country_Summary'!AF12-'Country_Summary'!AA12)/100</x:f>
        <x:v>0.08740000000000009</x:v>
      </x:c>
      <x:c r="N12" s="28" t="n">
        <x:f>(LN(1+'Country_Summary'!F12)-LN(1+'Country_Summary'!D12))/9</x:f>
        <x:v>0.15403270679109896</x:v>
      </x:c>
      <x:c r="O12" s="28" t="n">
        <x:f>(LN(1+'Country_Summary'!F12)-LN(1+'Country_Summary'!E12))/4</x:f>
        <x:v>0.17328679513998635</x:v>
      </x:c>
      <x:c r="P12" s="28" t="n">
        <x:f>('Country_Summary'!I12-'Country_Summary'!H12)/100</x:f>
        <x:v>0.24</x:v>
      </x:c>
      <x:c r="Q12" s="28" t="n">
        <x:f>('Country_Summary'!K12-'Country_Summary'!J12)/100</x:f>
        <x:v>0.059</x:v>
      </x:c>
      <x:c r="R12" s="28" t="n">
        <x:f>-'Country_Summary'!AU12</x:f>
        <x:v>0</x:v>
      </x:c>
    </x:row>
    <x:row r="13">
      <x:c r="A13" t="str">
        <x:v>Congo DR</x:v>
      </x:c>
      <x:c r="B13" t="str">
        <x:v>Democratic Republic of the Congo</x:v>
      </x:c>
      <x:c r="C13" t="str">
        <x:v>刚果（金）</x:v>
      </x:c>
      <x:c r="D13" t="str">
        <x:f>'Country_Summary'!C13</x:f>
        <x:v>Lagging</x:v>
      </x:c>
      <x:c r="E13" s="28" t="n">
        <x:f>'Country_Summary'!F13/SUM('Country_Summary'!$F$2:$F$55)</x:f>
        <x:v>0.040384072295961596</x:v>
      </x:c>
      <x:c r="F13" s="28" t="n">
        <x:f>'Country_Summary'!N13/SUM('Country_Summary'!$N$2:$N$55)</x:f>
        <x:v>0.019099743102870548</x:v>
      </x:c>
      <x:c r="G13" s="28" t="n">
        <x:f>('Country_Summary'!F13-'Country_Summary'!E13)/(SUM('Country_Summary'!$F$2:$F$55)-SUM('Country_Summary'!$E$2:$E$55))</x:f>
        <x:v>0.023310763154182536</x:v>
      </x:c>
      <x:c r="H13" t="n">
        <x:f>1+COUNTIF('Country_Summary'!$N$2:$N$55,"&gt;"&amp;'Country_Summary'!N13)</x:f>
        <x:v>12</x:v>
      </x:c>
      <x:c r="I13" s="28" t="n">
        <x:f>F13*((54-H13)/53)</x:f>
        <x:v>0.015135645477746472</x:v>
      </x:c>
      <x:c r="J13" s="28" t="n">
        <x:f>SQRT(('Country_Summary'!I13/100)*('Country_Summary'!AF13/100))</x:f>
        <x:v>0.4427999548328793</x:v>
      </x:c>
      <x:c r="K13" s="28" t="n">
        <x:f>SQRT(('Country_Summary'!K13/100)*('Country_Summary'!AF13/100))</x:f>
        <x:v>0.46783084549866955</x:v>
      </x:c>
      <x:c r="L13" s="28" t="n">
        <x:f>('Country_Summary'!AF13/100)*LN(1+'Country_Summary'!L13)</x:f>
        <x:v>0.7599413683525629</x:v>
      </x:c>
      <x:c r="M13" s="28" t="n">
        <x:f>('Country_Summary'!AF13-'Country_Summary'!AA13)/100</x:f>
        <x:v>0.034499999999999996</x:v>
      </x:c>
      <x:c r="N13" s="28" t="n">
        <x:f>(LN(1+'Country_Summary'!F13)-LN(1+'Country_Summary'!D13))/9</x:f>
        <x:v>0.03343786758252529</x:v>
      </x:c>
      <x:c r="O13" s="28" t="n">
        <x:f>(LN(1+'Country_Summary'!F13)-LN(1+'Country_Summary'!E13))/4</x:f>
        <x:v>0.056071004757384246</x:v>
      </x:c>
      <x:c r="P13" s="28" t="n">
        <x:f>('Country_Summary'!I13-'Country_Summary'!H13)/100</x:f>
        <x:v>-0.10200000000000004</x:v>
      </x:c>
      <x:c r="Q13" s="28" t="n">
        <x:f>('Country_Summary'!K13-'Country_Summary'!J13)/100</x:f>
        <x:v>-0.003999999999999915</x:v>
      </x:c>
      <x:c r="R13" s="28" t="n">
        <x:f>-'Country_Summary'!AU13</x:f>
        <x:v>-0.17431574412518724</x:v>
      </x:c>
    </x:row>
    <x:row r="14">
      <x:c r="A14" t="str">
        <x:v>Congo Rep</x:v>
      </x:c>
      <x:c r="B14" t="str">
        <x:v>Republic of the Congo</x:v>
      </x:c>
      <x:c r="C14" t="str">
        <x:v>刚果（布）</x:v>
      </x:c>
      <x:c r="D14" t="str">
        <x:f>'Country_Summary'!C14</x:f>
        <x:v>Lagging</x:v>
      </x:c>
      <x:c r="E14" s="28" t="n">
        <x:f>'Country_Summary'!F14/SUM('Country_Summary'!$F$2:$F$55)</x:f>
        <x:v>0.0027872254214604078</x:v>
      </x:c>
      <x:c r="F14" s="28" t="n">
        <x:f>'Country_Summary'!N14/SUM('Country_Summary'!$N$2:$N$55)</x:f>
        <x:v>0.0003127443315089914</x:v>
      </x:c>
      <x:c r="G14" s="28" t="n">
        <x:f>('Country_Summary'!F14-'Country_Summary'!E14)/(SUM('Country_Summary'!$F$2:$F$55)-SUM('Country_Summary'!$E$2:$E$55))</x:f>
        <x:v>0</x:v>
      </x:c>
      <x:c r="H14" t="n">
        <x:f>1+COUNTIF('Country_Summary'!$N$2:$N$55,"&gt;"&amp;'Country_Summary'!N14)</x:f>
        <x:v>49</x:v>
      </x:c>
      <x:c r="I14" s="28" t="n">
        <x:f>F14*((54-H14)/53)</x:f>
        <x:v>0.000029504182217829378</x:v>
      </x:c>
      <x:c r="J14" s="28" t="n">
        <x:f>SQRT(('Country_Summary'!I14/100)*('Country_Summary'!AF14/100))</x:f>
        <x:v>0.33763441767687136</x:v>
      </x:c>
      <x:c r="K14" s="28" t="n">
        <x:f>SQRT(('Country_Summary'!K14/100)*('Country_Summary'!AF14/100))</x:f>
        <x:v>0.4571591626556336</x:v>
      </x:c>
      <x:c r="L14" s="28" t="n">
        <x:f>('Country_Summary'!AF14/100)*LN(1+'Country_Summary'!L14)</x:f>
        <x:v>1.8514231434973039</x:v>
      </x:c>
      <x:c r="M14" s="28" t="n">
        <x:f>('Country_Summary'!AF14-'Country_Summary'!AA14)/100</x:f>
        <x:v>0.04310000000000002</x:v>
      </x:c>
      <x:c r="N14" s="28" t="n">
        <x:f>(LN(1+'Country_Summary'!F14)-LN(1+'Country_Summary'!D14))/9</x:f>
        <x:v>0.00704106821473221</x:v>
      </x:c>
      <x:c r="O14" s="28" t="n">
        <x:f>(LN(1+'Country_Summary'!F14)-LN(1+'Country_Summary'!E14))/4</x:f>
        <x:v>0</x:v>
      </x:c>
      <x:c r="P14" s="28" t="n">
        <x:f>('Country_Summary'!I14-'Country_Summary'!H14)/100</x:f>
        <x:v>-0.11199999999999999</x:v>
      </x:c>
      <x:c r="Q14" s="28" t="n">
        <x:f>('Country_Summary'!K14-'Country_Summary'!J14)/100</x:f>
        <x:v>-0.006999999999999958</x:v>
      </x:c>
      <x:c r="R14" s="28" t="n">
        <x:f>-'Country_Summary'!AU14</x:f>
        <x:v>-0.06693870860472799</x:v>
      </x:c>
    </x:row>
    <x:row r="15">
      <x:c r="A15" t="str">
        <x:v>Cote d Ivoire</x:v>
      </x:c>
      <x:c r="B15" t="str">
        <x:v>Côte d'Ivoire</x:v>
      </x:c>
      <x:c r="C15" t="str">
        <x:v>科特迪瓦</x:v>
      </x:c>
      <x:c r="D15" t="str">
        <x:f>'Country_Summary'!C15</x:f>
        <x:v>Balancing</x:v>
      </x:c>
      <x:c r="E15" s="28" t="n">
        <x:f>'Country_Summary'!F15/SUM('Country_Summary'!$F$2:$F$55)</x:f>
        <x:v>0.012634603342214801</x:v>
      </x:c>
      <x:c r="F15" s="28" t="n">
        <x:f>'Country_Summary'!N15/SUM('Country_Summary'!$N$2:$N$55)</x:f>
        <x:v>0.009494024349380096</x:v>
      </x:c>
      <x:c r="G15" s="28" t="n">
        <x:f>('Country_Summary'!F15-'Country_Summary'!E15)/(SUM('Country_Summary'!$F$2:$F$55)-SUM('Country_Summary'!$E$2:$E$55))</x:f>
        <x:v>0.005007758499083087</x:v>
      </x:c>
      <x:c r="H15" t="n">
        <x:f>1+COUNTIF('Country_Summary'!$N$2:$N$55,"&gt;"&amp;'Country_Summary'!N15)</x:f>
        <x:v>16</x:v>
      </x:c>
      <x:c r="I15" s="28" t="n">
        <x:f>F15*((54-H15)/53)</x:f>
        <x:v>0.006807036325970635</x:v>
      </x:c>
      <x:c r="J15" s="28" t="n">
        <x:f>SQRT(('Country_Summary'!I15/100)*('Country_Summary'!AF15/100))</x:f>
        <x:v>0.4953123257097485</x:v>
      </x:c>
      <x:c r="K15" s="28" t="n">
        <x:f>SQRT(('Country_Summary'!K15/100)*('Country_Summary'!AF15/100))</x:f>
        <x:v>0.42450123674731505</x:v>
      </x:c>
      <x:c r="L15" s="28" t="n">
        <x:f>('Country_Summary'!AF15/100)*LN(1+'Country_Summary'!L15)</x:f>
        <x:v>2.45660572438417</x:v>
      </x:c>
      <x:c r="M15" s="28" t="n">
        <x:f>('Country_Summary'!AF15-'Country_Summary'!AA15)/100</x:f>
        <x:v>0.05219999999999999</x:v>
      </x:c>
      <x:c r="N15" s="28" t="n">
        <x:f>(LN(1+'Country_Summary'!F15)-LN(1+'Country_Summary'!D15))/9</x:f>
        <x:v>0.059120624799204435</x:v>
      </x:c>
      <x:c r="O15" s="28" t="n">
        <x:f>(LN(1+'Country_Summary'!F15)-LN(1+'Country_Summary'!E15))/4</x:f>
        <x:v>0.037085584557877915</x:v>
      </x:c>
      <x:c r="P15" s="28" t="n">
        <x:f>('Country_Summary'!I15-'Country_Summary'!H15)/100</x:f>
        <x:v>0.025999999999999978</x:v>
      </x:c>
      <x:c r="Q15" s="28" t="n">
        <x:f>('Country_Summary'!K15-'Country_Summary'!J15)/100</x:f>
        <x:v>0.09699999999999999</x:v>
      </x:c>
      <x:c r="R15" s="28" t="n">
        <x:f>-'Country_Summary'!AU15</x:f>
        <x:v>-0.08258851483554128</x:v>
      </x:c>
    </x:row>
    <x:row r="16">
      <x:c r="A16" t="str">
        <x:v>Djibouti</x:v>
      </x:c>
      <x:c r="B16" t="str">
        <x:v>Djibouti</x:v>
      </x:c>
      <x:c r="C16" t="str">
        <x:v>吉布提</x:v>
      </x:c>
      <x:c r="D16" t="str">
        <x:f>'Country_Summary'!C16</x:f>
        <x:v>Lagging</x:v>
      </x:c>
      <x:c r="E16" s="28" t="n">
        <x:f>'Country_Summary'!F16/SUM('Country_Summary'!$F$2:$F$55)</x:f>
        <x:v>0.0009945606129440222</x:v>
      </x:c>
      <x:c r="F16" s="28" t="n">
        <x:f>'Country_Summary'!N16/SUM('Country_Summary'!$N$2:$N$55)</x:f>
        <x:v>0.001809449346587736</x:v>
      </x:c>
      <x:c r="G16" s="28" t="n">
        <x:f>('Country_Summary'!F16-'Country_Summary'!E16)/(SUM('Country_Summary'!$F$2:$F$55)-SUM('Country_Summary'!$E$2:$E$55))</x:f>
        <x:v>0.00215122020031034</x:v>
      </x:c>
      <x:c r="H16" t="n">
        <x:f>1+COUNTIF('Country_Summary'!$N$2:$N$55,"&gt;"&amp;'Country_Summary'!N16)</x:f>
        <x:v>34</x:v>
      </x:c>
      <x:c r="I16" s="28" t="n">
        <x:f>F16*((54-H16)/53)</x:f>
        <x:v>0.0006828110741840513</x:v>
      </x:c>
      <x:c r="J16" s="28" t="n">
        <x:f>SQRT(('Country_Summary'!I16/100)*('Country_Summary'!AF16/100))</x:f>
        <x:v>0.5082038960889615</x:v>
      </x:c>
      <x:c r="K16" s="28" t="n">
        <x:f>SQRT(('Country_Summary'!K16/100)*('Country_Summary'!AF16/100))</x:f>
        <x:v>0.6450609273549283</x:v>
      </x:c>
      <x:c r="L16" s="28" t="n">
        <x:f>('Country_Summary'!AF16/100)*LN(1+'Country_Summary'!L16)</x:f>
        <x:v>2.7690025011709025</x:v>
      </x:c>
      <x:c r="M16" s="28" t="n">
        <x:f>('Country_Summary'!AF16-'Country_Summary'!AA16)/100</x:f>
        <x:v>0.028100000000000024</x:v>
      </x:c>
      <x:c r="N16" s="28" t="n">
        <x:f>(LN(1+'Country_Summary'!F16)-LN(1+'Country_Summary'!D16))/9</x:f>
        <x:v>0.48963547191825035</x:v>
      </x:c>
      <x:c r="O16" s="28" t="n">
        <x:f>(LN(1+'Country_Summary'!F16)-LN(1+'Country_Summary'!E16))/4</x:f>
        <x:v>0.3405492023852076</x:v>
      </x:c>
      <x:c r="P16" s="28" t="n">
        <x:f>('Country_Summary'!I16-'Country_Summary'!H16)/100</x:f>
        <x:v>0.393</x:v>
      </x:c>
      <x:c r="Q16" s="28" t="n">
        <x:f>('Country_Summary'!K16-'Country_Summary'!J16)/100</x:f>
        <x:v>0.63</x:v>
      </x:c>
      <x:c r="R16" s="28" t="n">
        <x:f>-'Country_Summary'!AU16</x:f>
        <x:v>0</x:v>
      </x:c>
    </x:row>
    <x:row r="17">
      <x:c r="A17" t="str">
        <x:v>Egypt</x:v>
      </x:c>
      <x:c r="B17" t="str">
        <x:v>Egypt</x:v>
      </x:c>
      <x:c r="C17" t="str">
        <x:v>埃及</x:v>
      </x:c>
      <x:c r="D17" t="str">
        <x:f>'Country_Summary'!C17</x:f>
        <x:v>Leading</x:v>
      </x:c>
      <x:c r="E17" s="28" t="n">
        <x:f>'Country_Summary'!F17/SUM('Country_Summary'!$F$2:$F$55)</x:f>
        <x:v>0.11367459450167602</x:v>
      </x:c>
      <x:c r="F17" s="28" t="n">
        <x:f>'Country_Summary'!N17/SUM('Country_Summary'!$N$2:$N$55)</x:f>
        <x:v>0.12458393834468894</x:v>
      </x:c>
      <x:c r="G17" s="28" t="n">
        <x:f>('Country_Summary'!F17-'Country_Summary'!E17)/(SUM('Country_Summary'!$F$2:$F$55)-SUM('Country_Summary'!$E$2:$E$55))</x:f>
        <x:v>0.10579771476936098</x:v>
      </x:c>
      <x:c r="H17" t="n">
        <x:f>1+COUNTIF('Country_Summary'!$N$2:$N$55,"&gt;"&amp;'Country_Summary'!N17)</x:f>
        <x:v>3</x:v>
      </x:c>
      <x:c r="I17" s="28" t="n">
        <x:f>F17*((54-H17)/53)</x:f>
        <x:v>0.11988265765243653</x:v>
      </x:c>
      <x:c r="J17" s="28" t="n">
        <x:f>SQRT(('Country_Summary'!I17/100)*('Country_Summary'!AF17/100))</x:f>
        <x:v>0.382099463490856</x:v>
      </x:c>
      <x:c r="K17" s="28" t="n">
        <x:f>SQRT(('Country_Summary'!K17/100)*('Country_Summary'!AF17/100))</x:f>
        <x:v>0.35213633723318016</x:v>
      </x:c>
      <x:c r="L17" s="28" t="n">
        <x:f>('Country_Summary'!AF17/100)*LN(1+'Country_Summary'!L17)</x:f>
        <x:v>4.212127597878484</x:v>
      </x:c>
      <x:c r="M17" s="28" t="n">
        <x:f>('Country_Summary'!AF17-'Country_Summary'!AA17)/100</x:f>
        <x:v>0</x:v>
      </x:c>
      <x:c r="N17" s="28" t="n">
        <x:f>(LN(1+'Country_Summary'!F17)-LN(1+'Country_Summary'!D17))/9</x:f>
        <x:v>0.10245999651722491</x:v>
      </x:c>
      <x:c r="O17" s="28" t="n">
        <x:f>(LN(1+'Country_Summary'!F17)-LN(1+'Country_Summary'!E17))/4</x:f>
        <x:v>0.09789390588083657</x:v>
      </x:c>
      <x:c r="P17" s="28" t="n">
        <x:f>('Country_Summary'!I17-'Country_Summary'!H17)/100</x:f>
        <x:v>0.051</x:v>
      </x:c>
      <x:c r="Q17" s="28" t="n">
        <x:f>('Country_Summary'!K17-'Country_Summary'!J17)/100</x:f>
        <x:v>0.038000000000000006</x:v>
      </x:c>
      <x:c r="R17" s="28" t="n">
        <x:f>-'Country_Summary'!AU17</x:f>
        <x:v>-0.009516068676701295</x:v>
      </x:c>
    </x:row>
    <x:row r="18">
      <x:c r="A18" t="str">
        <x:v>Eq Guinea</x:v>
      </x:c>
      <x:c r="B18" t="str">
        <x:v>Equatorial Guinea</x:v>
      </x:c>
      <x:c r="C18" t="str">
        <x:v>赤道几内亚</x:v>
      </x:c>
      <x:c r="D18" t="str">
        <x:f>'Country_Summary'!C18</x:f>
        <x:v>Lagging</x:v>
      </x:c>
      <x:c r="E18" s="28" t="n">
        <x:f>'Country_Summary'!F18/SUM('Country_Summary'!$F$2:$F$55)</x:f>
        <x:v>0.001559372812887541</x:v>
      </x:c>
      <x:c r="F18" s="28" t="n">
        <x:f>'Country_Summary'!N18/SUM('Country_Summary'!$N$2:$N$55)</x:f>
        <x:v>0.000022338880822070814</x:v>
      </x:c>
      <x:c r="G18" s="28" t="n">
        <x:f>('Country_Summary'!F18-'Country_Summary'!E18)/(SUM('Country_Summary'!$F$2:$F$55)-SUM('Country_Summary'!$E$2:$E$55))</x:f>
        <x:v>0</x:v>
      </x:c>
      <x:c r="H18" t="n">
        <x:f>1+COUNTIF('Country_Summary'!$N$2:$N$55,"&gt;"&amp;'Country_Summary'!N18)</x:f>
        <x:v>54</x:v>
      </x:c>
      <x:c r="I18" s="28" t="n">
        <x:f>F18*((54-H18)/53)</x:f>
        <x:v>0</x:v>
      </x:c>
      <x:c r="J18" s="28" t="n">
        <x:f>SQRT(('Country_Summary'!I18/100)*('Country_Summary'!AF18/100))</x:f>
        <x:v>0.4603761505551737</x:v>
      </x:c>
      <x:c r="K18" s="28" t="n">
        <x:f>SQRT(('Country_Summary'!K18/100)*('Country_Summary'!AF18/100))</x:f>
        <x:v>0.5040515846617288</x:v>
      </x:c>
      <x:c r="L18" s="28" t="n">
        <x:f>('Country_Summary'!AF18/100)*LN(1+'Country_Summary'!L18)</x:f>
        <x:v>2.82312643605832</x:v>
      </x:c>
      <x:c r="M18" s="28" t="n">
        <x:f>('Country_Summary'!AF18-'Country_Summary'!AA18)/100</x:f>
        <x:v>0.0040000000000000565</x:v>
      </x:c>
      <x:c r="N18" s="28" t="n">
        <x:f>(LN(1+'Country_Summary'!F18)-LN(1+'Country_Summary'!D18))/9</x:f>
        <x:v>0.0008714641623361885</x:v>
      </x:c>
      <x:c r="O18" s="28" t="n">
        <x:f>(LN(1+'Country_Summary'!F18)-LN(1+'Country_Summary'!E18))/4</x:f>
        <x:v>0</x:v>
      </x:c>
      <x:c r="P18" s="28" t="n">
        <x:f>('Country_Summary'!I18-'Country_Summary'!H18)/100</x:f>
        <x:v>-0.020999999999999977</x:v>
      </x:c>
      <x:c r="Q18" s="28" t="n">
        <x:f>('Country_Summary'!K18-'Country_Summary'!J18)/100</x:f>
        <x:v>0.04299999999999997</x:v>
      </x:c>
      <x:c r="R18" s="28" t="n">
        <x:f>-'Country_Summary'!AU18</x:f>
        <x:v>0</x:v>
      </x:c>
    </x:row>
    <x:row r="19">
      <x:c r="A19" t="str">
        <x:v>Eritrea</x:v>
      </x:c>
      <x:c r="B19" t="str">
        <x:v>Eritrea</x:v>
      </x:c>
      <x:c r="C19" t="str">
        <x:v>厄立特里亚</x:v>
      </x:c>
      <x:c r="D19" t="str">
        <x:f>'Country_Summary'!C19</x:f>
        <x:v>Lagging</x:v>
      </x:c>
      <x:c r="E19" s="28" t="n">
        <x:f>'Country_Summary'!F19/SUM('Country_Summary'!$F$2:$F$55)</x:f>
        <x:v>0.0003192416782289454</x:v>
      </x:c>
      <x:c r="F19" s="28" t="n">
        <x:f>'Country_Summary'!N19/SUM('Country_Summary'!$N$2:$N$55)</x:f>
        <x:v>0.00035742209315313303</x:v>
      </x:c>
      <x:c r="G19" s="28" t="n">
        <x:f>('Country_Summary'!F19-'Country_Summary'!E19)/(SUM('Country_Summary'!$F$2:$F$55)-SUM('Country_Summary'!$E$2:$E$55))</x:f>
        <x:v>0</x:v>
      </x:c>
      <x:c r="H19" t="n">
        <x:f>1+COUNTIF('Country_Summary'!$N$2:$N$55,"&gt;"&amp;'Country_Summary'!N19)</x:f>
        <x:v>48</x:v>
      </x:c>
      <x:c r="I19" s="28" t="n">
        <x:f>F19*((54-H19)/53)</x:f>
        <x:v>0.000040462878470166</x:v>
      </x:c>
      <x:c r="J19" s="28" t="n">
        <x:f>SQRT(('Country_Summary'!I19/100)*('Country_Summary'!AF19/100))</x:f>
        <x:v>0.24683597792866419</x:v>
      </x:c>
      <x:c r="K19" s="28" t="n">
        <x:f>SQRT(('Country_Summary'!K19/100)*('Country_Summary'!AF19/100))</x:f>
        <x:v>0.23440136518373778</x:v>
      </x:c>
      <x:c r="L19" s="28" t="n">
        <x:f>('Country_Summary'!AF19/100)*LN(1+'Country_Summary'!L19)</x:f>
        <x:v>1.1446489799229929</x:v>
      </x:c>
      <x:c r="M19" s="28" t="n">
        <x:f>('Country_Summary'!AF19-'Country_Summary'!AA19)/100</x:f>
        <x:v>0.0525</x:v>
      </x:c>
      <x:c r="N19" s="28" t="n">
        <x:f>(LN(1+'Country_Summary'!F19)-LN(1+'Country_Summary'!D19))/9</x:f>
        <x:v>0.09977128813399538</x:v>
      </x:c>
      <x:c r="O19" s="28" t="n">
        <x:f>(LN(1+'Country_Summary'!F19)-LN(1+'Country_Summary'!E19))/4</x:f>
        <x:v>0</x:v>
      </x:c>
      <x:c r="P19" s="28" t="n">
        <x:f>('Country_Summary'!I19-'Country_Summary'!H19)/100</x:f>
        <x:v>0.05399999999999999</x:v>
      </x:c>
      <x:c r="Q19" s="28" t="n">
        <x:f>('Country_Summary'!K19-'Country_Summary'!J19)/100</x:f>
        <x:v>0.033999999999999996</x:v>
      </x:c>
      <x:c r="R19" s="28" t="n">
        <x:f>-'Country_Summary'!AU19</x:f>
        <x:v>0</x:v>
      </x:c>
    </x:row>
    <x:row r="20">
      <x:c r="A20" t="str">
        <x:v>Eswatini</x:v>
      </x:c>
      <x:c r="B20" t="str">
        <x:v>Eswatini</x:v>
      </x:c>
      <x:c r="C20" t="str">
        <x:v>斯威士兰</x:v>
      </x:c>
      <x:c r="D20" t="str">
        <x:f>'Country_Summary'!C20</x:f>
        <x:v>Lagging</x:v>
      </x:c>
      <x:c r="E20" s="28" t="n">
        <x:f>'Country_Summary'!F20/SUM('Country_Summary'!$F$2:$F$55)</x:f>
        <x:v>0.0024188696388885477</x:v>
      </x:c>
      <x:c r="F20" s="28" t="n">
        <x:f>'Country_Summary'!N20/SUM('Country_Summary'!$N$2:$N$55)</x:f>
        <x:v>0.0006478275438400536</x:v>
      </x:c>
      <x:c r="G20" s="28" t="n">
        <x:f>('Country_Summary'!F20-'Country_Summary'!E20)/(SUM('Country_Summary'!$F$2:$F$55)-SUM('Country_Summary'!$E$2:$E$55))</x:f>
        <x:v>0.0006700521935392862</x:v>
      </x:c>
      <x:c r="H20" t="n">
        <x:f>1+COUNTIF('Country_Summary'!$N$2:$N$55,"&gt;"&amp;'Country_Summary'!N20)</x:f>
        <x:v>42</x:v>
      </x:c>
      <x:c r="I20" s="28" t="n">
        <x:f>F20*((54-H20)/53)</x:f>
        <x:v>0.00014667793445435177</x:v>
      </x:c>
      <x:c r="J20" s="28" t="n">
        <x:f>SQRT(('Country_Summary'!I20/100)*('Country_Summary'!AF20/100))</x:f>
        <x:v>0.9068283189226062</x:v>
      </x:c>
      <x:c r="K20" s="28" t="n">
        <x:f>SQRT(('Country_Summary'!K20/100)*('Country_Summary'!AF20/100))</x:f>
        <x:v>0.9242825325624194</x:v>
      </x:c>
      <x:c r="L20" s="28" t="n">
        <x:f>('Country_Summary'!AF20/100)*LN(1+'Country_Summary'!L20)</x:f>
        <x:v>4.383395097817712</x:v>
      </x:c>
      <x:c r="M20" s="28" t="n">
        <x:f>('Country_Summary'!AF20-'Country_Summary'!AA20)/100</x:f>
        <x:v>0.12420000000000002</x:v>
      </x:c>
      <x:c r="N20" s="28" t="n">
        <x:f>(LN(1+'Country_Summary'!F20)-LN(1+'Country_Summary'!D20))/9</x:f>
        <x:v>0.017596479530162412</x:v>
      </x:c>
      <x:c r="O20" s="28" t="n">
        <x:f>(LN(1+'Country_Summary'!F20)-LN(1+'Country_Summary'!E20))/4</x:f>
        <x:v>0.025220306213445065</x:v>
      </x:c>
      <x:c r="P20" s="28" t="n">
        <x:f>('Country_Summary'!I20-'Country_Summary'!H20)/100</x:f>
        <x:v>0.007999999999999972</x:v>
      </x:c>
      <x:c r="Q20" s="28" t="n">
        <x:f>('Country_Summary'!K20-'Country_Summary'!J20)/100</x:f>
        <x:v>0.008000000000000113</x:v>
      </x:c>
      <x:c r="R20" s="28" t="n">
        <x:f>-'Country_Summary'!AU20</x:f>
        <x:v>0</x:v>
      </x:c>
    </x:row>
    <x:row r="21">
      <x:c r="A21" t="str">
        <x:v>Ethiopia</x:v>
      </x:c>
      <x:c r="B21" t="str">
        <x:v>Ethiopia</x:v>
      </x:c>
      <x:c r="C21" t="str">
        <x:v>埃塞俄比亚</x:v>
      </x:c>
      <x:c r="D21" t="str">
        <x:f>'Country_Summary'!C21</x:f>
        <x:v>Leading</x:v>
      </x:c>
      <x:c r="E21" s="28" t="n">
        <x:f>'Country_Summary'!F21/SUM('Country_Summary'!$F$2:$F$55)</x:f>
        <x:v>0.12379209999631645</x:v>
      </x:c>
      <x:c r="F21" s="28" t="n">
        <x:f>'Country_Summary'!N21/SUM('Country_Summary'!$N$2:$N$55)</x:f>
        <x:v>0.16604490115045237</x:v>
      </x:c>
      <x:c r="G21" s="28" t="n">
        <x:f>('Country_Summary'!F21-'Country_Summary'!E21)/(SUM('Country_Summary'!$F$2:$F$55)-SUM('Country_Summary'!$E$2:$E$55))</x:f>
        <x:v>0.1877204119057695</x:v>
      </x:c>
      <x:c r="H21" t="n">
        <x:f>1+COUNTIF('Country_Summary'!$N$2:$N$55,"&gt;"&amp;'Country_Summary'!N21)</x:f>
        <x:v>2</x:v>
      </x:c>
      <x:c r="I21" s="28" t="n">
        <x:f>F21*((54-H21)/53)</x:f>
        <x:v>0.1629119784872363</x:v>
      </x:c>
      <x:c r="J21" s="28" t="n">
        <x:f>SQRT(('Country_Summary'!I21/100)*('Country_Summary'!AF21/100))</x:f>
        <x:v>0.7407145199062861</x:v>
      </x:c>
      <x:c r="K21" s="28" t="n">
        <x:f>SQRT(('Country_Summary'!K21/100)*('Country_Summary'!AF21/100))</x:f>
        <x:v>0.74444610281739</x:v>
      </x:c>
      <x:c r="L21" s="28" t="n">
        <x:f>('Country_Summary'!AF21/100)*LN(1+'Country_Summary'!L21)</x:f>
        <x:v>2.1266313603064906</x:v>
      </x:c>
      <x:c r="M21" s="28" t="n">
        <x:f>('Country_Summary'!AF21-'Country_Summary'!AA21)/100</x:f>
        <x:v>0.10579999999999998</x:v>
      </x:c>
      <x:c r="N21" s="28" t="n">
        <x:f>(LN(1+'Country_Summary'!F21)-LN(1+'Country_Summary'!D21))/9</x:f>
        <x:v>0.14847679971254962</x:v>
      </x:c>
      <x:c r="O21" s="28" t="n">
        <x:f>(LN(1+'Country_Summary'!F21)-LN(1+'Country_Summary'!E21))/4</x:f>
        <x:v>0.18765079229193704</x:v>
      </x:c>
      <x:c r="P21" s="28" t="n">
        <x:f>('Country_Summary'!I21-'Country_Summary'!H21)/100</x:f>
        <x:v>0.025999999999999943</x:v>
      </x:c>
      <x:c r="Q21" s="28" t="n">
        <x:f>('Country_Summary'!K21-'Country_Summary'!J21)/100</x:f>
        <x:v>0</x:v>
      </x:c>
      <x:c r="R21" s="28" t="n">
        <x:f>-'Country_Summary'!AU21</x:f>
        <x:v>-0.025846478484718282</x:v>
      </x:c>
    </x:row>
    <x:row r="22">
      <x:c r="A22" t="str">
        <x:v>Gabon</x:v>
      </x:c>
      <x:c r="B22" t="str">
        <x:v>Gabon</x:v>
      </x:c>
      <x:c r="C22" t="str">
        <x:v>加蓬</x:v>
      </x:c>
      <x:c r="D22" t="str">
        <x:f>'Country_Summary'!C22</x:f>
        <x:v>Lagging</x:v>
      </x:c>
      <x:c r="E22" s="28" t="n">
        <x:f>'Country_Summary'!F22/SUM('Country_Summary'!$F$2:$F$55)</x:f>
        <x:v>0.004076470660461918</x:v>
      </x:c>
      <x:c r="F22" s="28" t="n">
        <x:f>'Country_Summary'!N22/SUM('Country_Summary'!$N$2:$N$55)</x:f>
        <x:v>0.0035742209315313303</x:v>
      </x:c>
      <x:c r="G22" s="28" t="n">
        <x:f>('Country_Summary'!F22-'Country_Summary'!E22)/(SUM('Country_Summary'!$F$2:$F$55)-SUM('Country_Summary'!$E$2:$E$55))</x:f>
        <x:v>0.0003879249541543236</x:v>
      </x:c>
      <x:c r="H22" t="n">
        <x:f>1+COUNTIF('Country_Summary'!$N$2:$N$55,"&gt;"&amp;'Country_Summary'!N22)</x:f>
        <x:v>25</x:v>
      </x:c>
      <x:c r="I22" s="28" t="n">
        <x:f>F22*((54-H22)/53)</x:f>
        <x:v>0.00195570579272469</x:v>
      </x:c>
      <x:c r="J22" s="28" t="n">
        <x:f>SQRT(('Country_Summary'!I22/100)*('Country_Summary'!AF22/100))</x:f>
        <x:v>0.6011828340862704</x:v>
      </x:c>
      <x:c r="K22" s="28" t="n">
        <x:f>SQRT(('Country_Summary'!K22/100)*('Country_Summary'!AF22/100))</x:f>
        <x:v>0.5988298589749846</x:v>
      </x:c>
      <x:c r="L22" s="28" t="n">
        <x:f>('Country_Summary'!AF22/100)*LN(1+'Country_Summary'!L22)</x:f>
        <x:v>4.59497986901154</x:v>
      </x:c>
      <x:c r="M22" s="28" t="n">
        <x:f>('Country_Summary'!AF22-'Country_Summary'!AA22)/100</x:f>
        <x:v>0.04550000000000012</x:v>
      </x:c>
      <x:c r="N22" s="28" t="n">
        <x:f>(LN(1+'Country_Summary'!F22)-LN(1+'Country_Summary'!D22))/9</x:f>
        <x:v>0.07276121060918496</x:v>
      </x:c>
      <x:c r="O22" s="28" t="n">
        <x:f>(LN(1+'Country_Summary'!F22)-LN(1+'Country_Summary'!E22))/4</x:f>
        <x:v>0.008397736109008846</x:v>
      </x:c>
      <x:c r="P22" s="28" t="n">
        <x:f>('Country_Summary'!I22-'Country_Summary'!H22)/100</x:f>
        <x:v>0.016999999999999956</x:v>
      </x:c>
      <x:c r="Q22" s="28" t="n">
        <x:f>('Country_Summary'!K22-'Country_Summary'!J22)/100</x:f>
        <x:v>-0.035</x:v>
      </x:c>
      <x:c r="R22" s="28" t="n">
        <x:f>-'Country_Summary'!AU22</x:f>
        <x:v>-0.06231364436186233</x:v>
      </x:c>
    </x:row>
    <x:row r="23">
      <x:c r="A23" t="str">
        <x:v>Gambia</x:v>
      </x:c>
      <x:c r="B23" t="str">
        <x:v>Gambia</x:v>
      </x:c>
      <x:c r="C23" t="str">
        <x:v>冈比亚</x:v>
      </x:c>
      <x:c r="D23" t="str">
        <x:f>'Country_Summary'!C23</x:f>
        <x:v>Lagging</x:v>
      </x:c>
      <x:c r="E23" s="28" t="n">
        <x:f>'Country_Summary'!F23/SUM('Country_Summary'!$F$2:$F$55)</x:f>
        <x:v>0.0003192416782289454</x:v>
      </x:c>
      <x:c r="F23" s="28" t="n">
        <x:f>'Country_Summary'!N23/SUM('Country_Summary'!$N$2:$N$55)</x:f>
        <x:v>0.0005361331397296995</x:v>
      </x:c>
      <x:c r="G23" s="28" t="n">
        <x:f>('Country_Summary'!F23-'Country_Summary'!E23)/(SUM('Country_Summary'!$F$2:$F$55)-SUM('Country_Summary'!$E$2:$E$55))</x:f>
        <x:v>0.0008111158132317676</x:v>
      </x:c>
      <x:c r="H23" t="n">
        <x:f>1+COUNTIF('Country_Summary'!$N$2:$N$55,"&gt;"&amp;'Country_Summary'!N23)</x:f>
        <x:v>44</x:v>
      </x:c>
      <x:c r="I23" s="28" t="n">
        <x:f>F23*((54-H23)/53)</x:f>
        <x:v>0.00010115719617541502</x:v>
      </x:c>
      <x:c r="J23" s="28" t="n">
        <x:f>SQRT(('Country_Summary'!I23/100)*('Country_Summary'!AF23/100))</x:f>
        <x:v>0.30599346398248445</x:v>
      </x:c>
      <x:c r="K23" s="28" t="n">
        <x:f>SQRT(('Country_Summary'!K23/100)*('Country_Summary'!AF23/100))</x:f>
        <x:v>0.07758350340117415</x:v>
      </x:c>
      <x:c r="L23" s="28" t="n">
        <x:f>('Country_Summary'!AF23/100)*LN(1+'Country_Summary'!L23)</x:f>
        <x:v>1.5661997231513323</x:v>
      </x:c>
      <x:c r="M23" s="28" t="n">
        <x:f>('Country_Summary'!AF23-'Country_Summary'!AA23)/100</x:f>
        <x:v>0.06579999999999998</x:v>
      </x:c>
      <x:c r="N23" s="28" t="n">
        <x:f>(LN(1+'Country_Summary'!F23)-LN(1+'Country_Summary'!D23))/9</x:f>
        <x:v>0.24413606414846878</x:v>
      </x:c>
      <x:c r="O23" s="28" t="n">
        <x:f>(LN(1+'Country_Summary'!F23)-LN(1+'Country_Summary'!E23))/4</x:f>
        <x:v>0.47738562622110964</x:v>
      </x:c>
      <x:c r="P23" s="28" t="n">
        <x:f>('Country_Summary'!I23-'Country_Summary'!H23)/100</x:f>
        <x:v>0.111</x:v>
      </x:c>
      <x:c r="Q23" s="28" t="n">
        <x:f>('Country_Summary'!K23-'Country_Summary'!J23)/100</x:f>
        <x:v>-0.002999999999999999</x:v>
      </x:c>
      <x:c r="R23" s="28" t="n">
        <x:f>-'Country_Summary'!AU23</x:f>
        <x:v>-0.0237432613678763</x:v>
      </x:c>
    </x:row>
    <x:row r="24">
      <x:c r="A24" t="str">
        <x:v>Ghana</x:v>
      </x:c>
      <x:c r="B24" t="str">
        <x:v>Ghana</x:v>
      </x:c>
      <x:c r="C24" t="str">
        <x:v>加纳</x:v>
      </x:c>
      <x:c r="D24" t="str">
        <x:f>'Country_Summary'!C24</x:f>
        <x:v>Balancing</x:v>
      </x:c>
      <x:c r="E24" s="28" t="n">
        <x:f>'Country_Summary'!F24/SUM('Country_Summary'!$F$2:$F$55)</x:f>
        <x:v>0.021831219380425575</x:v>
      </x:c>
      <x:c r="F24" s="28" t="n">
        <x:f>'Country_Summary'!N24/SUM('Country_Summary'!$N$2:$N$55)</x:f>
        <x:v>0.0033061543616664806</x:v>
      </x:c>
      <x:c r="G24" s="28" t="n">
        <x:f>('Country_Summary'!F24-'Country_Summary'!E24)/(SUM('Country_Summary'!$F$2:$F$55)-SUM('Country_Summary'!$E$2:$E$55))</x:f>
        <x:v>0.0007758499083086472</x:v>
      </x:c>
      <x:c r="H24" t="n">
        <x:f>1+COUNTIF('Country_Summary'!$N$2:$N$55,"&gt;"&amp;'Country_Summary'!N24)</x:f>
        <x:v>26</x:v>
      </x:c>
      <x:c r="I24" s="28" t="n">
        <x:f>F24*((54-H24)/53)</x:f>
        <x:v>0.0017466475872954992</x:v>
      </x:c>
      <x:c r="J24" s="28" t="n">
        <x:f>SQRT(('Country_Summary'!I24/100)*('Country_Summary'!AF24/100))</x:f>
        <x:v>0.5198651748290127</x:v>
      </x:c>
      <x:c r="K24" s="28" t="n">
        <x:f>SQRT(('Country_Summary'!K24/100)*('Country_Summary'!AF24/100))</x:f>
        <x:v>0.5960497462460662</x:v>
      </x:c>
      <x:c r="L24" s="28" t="n">
        <x:f>('Country_Summary'!AF24/100)*LN(1+'Country_Summary'!L24)</x:f>
        <x:v>3.547934371169293</x:v>
      </x:c>
      <x:c r="M24" s="28" t="n">
        <x:f>('Country_Summary'!AF24-'Country_Summary'!AA24)/100</x:f>
        <x:v>0.0908999999999999</x:v>
      </x:c>
      <x:c r="N24" s="28" t="n">
        <x:f>(LN(1+'Country_Summary'!F24)-LN(1+'Country_Summary'!D24))/9</x:f>
        <x:v>0.009650898338313476</x:v>
      </x:c>
      <x:c r="O24" s="28" t="n">
        <x:f>(LN(1+'Country_Summary'!F24)-LN(1+'Country_Summary'!E24))/4</x:f>
        <x:v>0.0031108998696844914</x:v>
      </x:c>
      <x:c r="P24" s="28" t="n">
        <x:f>('Country_Summary'!I24-'Country_Summary'!H24)/100</x:f>
        <x:v>-0.12500000000000003</x:v>
      </x:c>
      <x:c r="Q24" s="28" t="n">
        <x:f>('Country_Summary'!K24-'Country_Summary'!J24)/100</x:f>
        <x:v>-0.03399999999999999</x:v>
      </x:c>
      <x:c r="R24" s="28" t="n">
        <x:f>-'Country_Summary'!AU24</x:f>
        <x:v>-0.04575590679080506</x:v>
      </x:c>
    </x:row>
    <x:row r="25">
      <x:c r="A25" t="str">
        <x:v>Guinea</x:v>
      </x:c>
      <x:c r="B25" t="str">
        <x:v>Guinea</x:v>
      </x:c>
      <x:c r="C25" t="str">
        <x:v>几内亚</x:v>
      </x:c>
      <x:c r="D25" t="str">
        <x:f>'Country_Summary'!C25</x:f>
        <x:v>Balancing</x:v>
      </x:c>
      <x:c r="E25" s="28" t="n">
        <x:f>'Country_Summary'!F25/SUM('Country_Summary'!$F$2:$F$55)</x:f>
        <x:v>0.010215733703326253</x:v>
      </x:c>
      <x:c r="F25" s="28" t="n">
        <x:f>'Country_Summary'!N25/SUM('Country_Summary'!$N$2:$N$55)</x:f>
        <x:v>0.010342901820618786</x:v>
      </x:c>
      <x:c r="G25" s="28" t="n">
        <x:f>('Country_Summary'!F25-'Country_Summary'!E25)/(SUM('Country_Summary'!$F$2:$F$55)-SUM('Country_Summary'!$E$2:$E$55))</x:f>
        <x:v>0.00010579771476936098</x:v>
      </x:c>
      <x:c r="H25" t="n">
        <x:f>1+COUNTIF('Country_Summary'!$N$2:$N$55,"&gt;"&amp;'Country_Summary'!N25)</x:f>
        <x:v>15</x:v>
      </x:c>
      <x:c r="I25" s="28" t="n">
        <x:f>F25*((54-H25)/53)</x:f>
        <x:v>0.007610814547247786</x:v>
      </x:c>
      <x:c r="J25" s="28" t="n">
        <x:f>SQRT(('Country_Summary'!I25/100)*('Country_Summary'!AF25/100))</x:f>
        <x:v>0.5808545428934855</x:v>
      </x:c>
      <x:c r="K25" s="28" t="n">
        <x:f>SQRT(('Country_Summary'!K25/100)*('Country_Summary'!AF25/100))</x:f>
        <x:v>0.7074353680725894</x:v>
      </x:c>
      <x:c r="L25" s="28" t="n">
        <x:f>('Country_Summary'!AF25/100)*LN(1+'Country_Summary'!L25)</x:f>
        <x:v>2.069491278846019</x:v>
      </x:c>
      <x:c r="M25" s="28" t="n">
        <x:f>('Country_Summary'!AF25-'Country_Summary'!AA25)/100</x:f>
        <x:v>0.06119999999999998</x:v>
      </x:c>
      <x:c r="N25" s="28" t="n">
        <x:f>(LN(1+'Country_Summary'!F25)-LN(1+'Country_Summary'!D25))/9</x:f>
        <x:v>0.09017007072539703</x:v>
      </x:c>
      <x:c r="O25" s="28" t="n">
        <x:f>(LN(1+'Country_Summary'!F25)-LN(1+'Country_Summary'!E25))/4</x:f>
        <x:v>0.0009019853440499492</x:v>
      </x:c>
      <x:c r="P25" s="28" t="n">
        <x:f>('Country_Summary'!I25-'Country_Summary'!H25)/100</x:f>
        <x:v>0.04</x:v>
      </x:c>
      <x:c r="Q25" s="28" t="n">
        <x:f>('Country_Summary'!K25-'Country_Summary'!J25)/100</x:f>
        <x:v>0.3</x:v>
      </x:c>
      <x:c r="R25" s="28" t="n">
        <x:f>-'Country_Summary'!AU25</x:f>
        <x:v>-0.1096056345526069</x:v>
      </x:c>
    </x:row>
    <x:row r="26">
      <x:c r="A26" t="str">
        <x:v>Guinea Bissau</x:v>
      </x:c>
      <x:c r="B26" t="str">
        <x:v>Guinea-Bissau</x:v>
      </x:c>
      <x:c r="C26" t="str">
        <x:v>几内亚比绍</x:v>
      </x:c>
      <x:c r="D26" t="str">
        <x:f>'Country_Summary'!C26</x:f>
        <x:v>Lagging</x:v>
      </x:c>
      <x:c r="E26" s="28" t="n">
        <x:f>'Country_Summary'!F26/SUM('Country_Summary'!$F$2:$F$55)</x:f>
        <x:v>0.000036835578257186006</x:v>
      </x:c>
      <x:c r="F26" s="28" t="n">
        <x:f>'Country_Summary'!N26/SUM('Country_Summary'!$N$2:$N$55)</x:f>
        <x:v>0.00004467776164414163</x:v>
      </x:c>
      <x:c r="G26" s="28" t="n">
        <x:f>('Country_Summary'!F26-'Country_Summary'!E26)/(SUM('Country_Summary'!$F$2:$F$55)-SUM('Country_Summary'!$E$2:$E$55))</x:f>
        <x:v>0.000035265904923120326</x:v>
      </x:c>
      <x:c r="H26" t="n">
        <x:f>1+COUNTIF('Country_Summary'!$N$2:$N$55,"&gt;"&amp;'Country_Summary'!N26)</x:f>
        <x:v>53</x:v>
      </x:c>
      <x:c r="I26" s="28" t="n">
        <x:f>F26*((54-H26)/53)</x:f>
        <x:v>8.42976634795125e-7</x:v>
      </x:c>
      <x:c r="J26" s="28" t="n">
        <x:f>SQRT(('Country_Summary'!I26/100)*('Country_Summary'!AF26/100))</x:f>
        <x:v>0.18990208003073586</x:v>
      </x:c>
      <x:c r="K26" s="28" t="n">
        <x:f>SQRT(('Country_Summary'!K26/100)*('Country_Summary'!AF26/100))</x:f>
        <x:v>0.22324784433449746</x:v>
      </x:c>
      <x:c r="L26" s="28" t="n">
        <x:f>('Country_Summary'!AF26/100)*LN(1+'Country_Summary'!L26)</x:f>
        <x:v>0.2600791946770543</x:v>
      </x:c>
      <x:c r="M26" s="28" t="n">
        <x:f>('Country_Summary'!AF26-'Country_Summary'!AA26)/100</x:f>
        <x:v>0.12140000000000004</x:v>
      </x:c>
      <x:c r="N26" s="28" t="n">
        <x:f>(LN(1+'Country_Summary'!F26)-LN(1+'Country_Summary'!D26))/9</x:f>
        <x:v>0.07701635339554948</x:v>
      </x:c>
      <x:c r="O26" s="28" t="n">
        <x:f>(LN(1+'Country_Summary'!F26)-LN(1+'Country_Summary'!E26))/4</x:f>
        <x:v>0.0719205181129452</x:v>
      </x:c>
      <x:c r="P26" s="28" t="n">
        <x:f>('Country_Summary'!I26-'Country_Summary'!H26)/100</x:f>
        <x:v>0.065</x:v>
      </x:c>
      <x:c r="Q26" s="28" t="n">
        <x:f>('Country_Summary'!K26-'Country_Summary'!J26)/100</x:f>
        <x:v>0.079</x:v>
      </x:c>
      <x:c r="R26" s="28" t="n">
        <x:f>-'Country_Summary'!AU26</x:f>
        <x:v>0</x:v>
      </x:c>
    </x:row>
    <x:row r="27">
      <x:c r="A27" t="str">
        <x:v>Kenya</x:v>
      </x:c>
      <x:c r="B27" t="str">
        <x:v>Kenya</x:v>
      </x:c>
      <x:c r="C27" t="str">
        <x:v>肯尼亚</x:v>
      </x:c>
      <x:c r="D27" t="str">
        <x:f>'Country_Summary'!C27</x:f>
        <x:v>Leading</x:v>
      </x:c>
      <x:c r="E27" s="28" t="n">
        <x:f>'Country_Summary'!F27/SUM('Country_Summary'!$F$2:$F$55)</x:f>
        <x:v>0.036577729209385706</x:v>
      </x:c>
      <x:c r="F27" s="28" t="n">
        <x:f>'Country_Summary'!N27/SUM('Country_Summary'!$N$2:$N$55)</x:f>
        <x:v>0.030246844633083882</x:v>
      </x:c>
      <x:c r="G27" s="28" t="n">
        <x:f>('Country_Summary'!F27-'Country_Summary'!E27)/(SUM('Country_Summary'!$F$2:$F$55)-SUM('Country_Summary'!$E$2:$E$55))</x:f>
        <x:v>0.01939624770771618</x:v>
      </x:c>
      <x:c r="H27" t="n">
        <x:f>1+COUNTIF('Country_Summary'!$N$2:$N$55,"&gt;"&amp;'Country_Summary'!N27)</x:f>
        <x:v>7</x:v>
      </x:c>
      <x:c r="I27" s="28" t="n">
        <x:f>F27*((54-H27)/53)</x:f>
        <x:v>0.026822673542546086</x:v>
      </x:c>
      <x:c r="J27" s="28" t="n">
        <x:f>SQRT(('Country_Summary'!I27/100)*('Country_Summary'!AF27/100))</x:f>
        <x:v>0.7945856781996514</x:v>
      </x:c>
      <x:c r="K27" s="28" t="n">
        <x:f>SQRT(('Country_Summary'!K27/100)*('Country_Summary'!AF27/100))</x:f>
        <x:v>0.8260711833734427</x:v>
      </x:c>
      <x:c r="L27" s="28" t="n">
        <x:f>('Country_Summary'!AF27/100)*LN(1+'Country_Summary'!L27)</x:f>
        <x:v>3.0533684238265946</x:v>
      </x:c>
      <x:c r="M27" s="28" t="n">
        <x:f>('Country_Summary'!AF27-'Country_Summary'!AA27)/100</x:f>
        <x:v>0.14979999999999996</x:v>
      </x:c>
      <x:c r="N27" s="28" t="n">
        <x:f>(LN(1+'Country_Summary'!F27)-LN(1+'Country_Summary'!D27))/9</x:f>
        <x:v>0.06731114326574389</x:v>
      </x:c>
      <x:c r="O27" s="28" t="n">
        <x:f>(LN(1+'Country_Summary'!F27)-LN(1+'Country_Summary'!E27))/4</x:f>
        <x:v>0.05100801079121409</x:v>
      </x:c>
      <x:c r="P27" s="28" t="n">
        <x:f>('Country_Summary'!I27-'Country_Summary'!H27)/100</x:f>
        <x:v>0.16800000000000012</x:v>
      </x:c>
      <x:c r="Q27" s="28" t="n">
        <x:f>('Country_Summary'!K27-'Country_Summary'!J27)/100</x:f>
        <x:v>0.07099999999999994</x:v>
      </x:c>
      <x:c r="R27" s="28" t="n">
        <x:f>-'Country_Summary'!AU27</x:f>
        <x:v>0.056348119451802604</x:v>
      </x:c>
    </x:row>
    <x:row r="28">
      <x:c r="A28" t="str">
        <x:v>Lesotho</x:v>
      </x:c>
      <x:c r="B28" t="str">
        <x:v>Lesotho</x:v>
      </x:c>
      <x:c r="C28" t="str">
        <x:v>莱索托</x:v>
      </x:c>
      <x:c r="D28" t="str">
        <x:f>'Country_Summary'!C28</x:f>
        <x:v>Lagging</x:v>
      </x:c>
      <x:c r="E28" s="28" t="n">
        <x:f>'Country_Summary'!F28/SUM('Country_Summary'!$F$2:$F$55)</x:f>
        <x:v>0.0012769667129157816</x:v>
      </x:c>
      <x:c r="F28" s="28" t="n">
        <x:f>'Country_Summary'!N28/SUM('Country_Summary'!$N$2:$N$55)</x:f>
        <x:v>0.0006478275438400536</x:v>
      </x:c>
      <x:c r="G28" s="28" t="n">
        <x:f>('Country_Summary'!F28-'Country_Summary'!E28)/(SUM('Country_Summary'!$F$2:$F$55)-SUM('Country_Summary'!$E$2:$E$55))</x:f>
        <x:v>0.0010227112427704894</x:v>
      </x:c>
      <x:c r="H28" t="n">
        <x:f>1+COUNTIF('Country_Summary'!$N$2:$N$55,"&gt;"&amp;'Country_Summary'!N28)</x:f>
        <x:v>42</x:v>
      </x:c>
      <x:c r="I28" s="28" t="n">
        <x:f>F28*((54-H28)/53)</x:f>
        <x:v>0.00014667793445435177</x:v>
      </x:c>
      <x:c r="J28" s="28" t="n">
        <x:f>SQRT(('Country_Summary'!I28/100)*('Country_Summary'!AF28/100))</x:f>
        <x:v>0.7546274577564748</x:v>
      </x:c>
      <x:c r="K28" s="28" t="n">
        <x:f>SQRT(('Country_Summary'!K28/100)*('Country_Summary'!AF28/100))</x:f>
        <x:v>0.7561442983981298</x:v>
      </x:c>
      <x:c r="L28" s="28" t="n">
        <x:f>('Country_Summary'!AF28/100)*LN(1+'Country_Summary'!L28)</x:f>
        <x:v>2.1871673915407106</x:v>
      </x:c>
      <x:c r="M28" s="28" t="n">
        <x:f>('Country_Summary'!AF28-'Country_Summary'!AA28)/100</x:f>
        <x:v>0.10289999999999999</x:v>
      </x:c>
      <x:c r="N28" s="28" t="n">
        <x:f>(LN(1+'Country_Summary'!F28)-LN(1+'Country_Summary'!D28))/9</x:f>
        <x:v>0.03591411220791022</x:v>
      </x:c>
      <x:c r="O28" s="28" t="n">
        <x:f>(LN(1+'Country_Summary'!F28)-LN(1+'Country_Summary'!E28))/4</x:f>
        <x:v>0.080806752467798</x:v>
      </x:c>
      <x:c r="P28" s="28" t="n">
        <x:f>('Country_Summary'!I28-'Country_Summary'!H28)/100</x:f>
        <x:v>0.0010000000000000852</x:v>
      </x:c>
      <x:c r="Q28" s="28" t="n">
        <x:f>('Country_Summary'!K28-'Country_Summary'!J28)/100</x:f>
        <x:v>-0.0010000000000000852</x:v>
      </x:c>
      <x:c r="R28" s="28" t="n">
        <x:f>-'Country_Summary'!AU28</x:f>
        <x:v>-0.014153814177641433</x:v>
      </x:c>
    </x:row>
    <x:row r="29">
      <x:c r="A29" t="str">
        <x:v>Liberia</x:v>
      </x:c>
      <x:c r="B29" t="str">
        <x:v>Liberia</x:v>
      </x:c>
      <x:c r="C29" t="str">
        <x:v>利比里亚</x:v>
      </x:c>
      <x:c r="D29" t="str">
        <x:f>'Country_Summary'!C29</x:f>
        <x:v>Lagging</x:v>
      </x:c>
      <x:c r="E29" s="28" t="n">
        <x:f>'Country_Summary'!F29/SUM('Country_Summary'!$F$2:$F$55)</x:f>
        <x:v>0.0012155740824871383</x:v>
      </x:c>
      <x:c r="F29" s="28" t="n">
        <x:f>'Country_Summary'!N29/SUM('Country_Summary'!$N$2:$N$55)</x:f>
        <x:v>0.0016083994191890985</x:v>
      </x:c>
      <x:c r="G29" s="28" t="n">
        <x:f>('Country_Summary'!F29-'Country_Summary'!E29)/(SUM('Country_Summary'!$F$2:$F$55)-SUM('Country_Summary'!$E$2:$E$55))</x:f>
        <x:v>0.00010579771476936098</x:v>
      </x:c>
      <x:c r="H29" t="n">
        <x:f>1+COUNTIF('Country_Summary'!$N$2:$N$55,"&gt;"&amp;'Country_Summary'!N29)</x:f>
        <x:v>36</x:v>
      </x:c>
      <x:c r="I29" s="28" t="n">
        <x:f>F29*((54-H29)/53)</x:f>
        <x:v>0.000546248859347241</x:v>
      </x:c>
      <x:c r="J29" s="28" t="n">
        <x:f>SQRT(('Country_Summary'!I29/100)*('Country_Summary'!AF29/100))</x:f>
        <x:v>0.404166797250838</x:v>
      </x:c>
      <x:c r="K29" s="28" t="n">
        <x:f>SQRT(('Country_Summary'!K29/100)*('Country_Summary'!AF29/100))</x:f>
        <x:v>0.4897139981662766</x:v>
      </x:c>
      <x:c r="L29" s="28" t="n">
        <x:f>('Country_Summary'!AF29/100)*LN(1+'Country_Summary'!L29)</x:f>
        <x:v>0.9423297447136372</x:v>
      </x:c>
      <x:c r="M29" s="28" t="n">
        <x:f>('Country_Summary'!AF29-'Country_Summary'!AA29)/100</x:f>
        <x:v>0.0977</x:v>
      </x:c>
      <x:c r="N29" s="28" t="n">
        <x:f>(LN(1+'Country_Summary'!F29)-LN(1+'Country_Summary'!D29))/9</x:f>
        <x:v>0.14144063064587645</x:v>
      </x:c>
      <x:c r="O29" s="28" t="n">
        <x:f>(LN(1+'Country_Summary'!F29)-LN(1+'Country_Summary'!E29))/4</x:f>
        <x:v>0.007614801871177246</x:v>
      </x:c>
      <x:c r="P29" s="28" t="n">
        <x:f>('Country_Summary'!I29-'Country_Summary'!H29)/100</x:f>
        <x:v>0.28400000000000003</x:v>
      </x:c>
      <x:c r="Q29" s="28" t="n">
        <x:f>('Country_Summary'!K29-'Country_Summary'!J29)/100</x:f>
        <x:v>0.643</x:v>
      </x:c>
      <x:c r="R29" s="28" t="n">
        <x:f>-'Country_Summary'!AU29</x:f>
        <x:v>0</x:v>
      </x:c>
    </x:row>
    <x:row r="30">
      <x:c r="A30" t="str">
        <x:v>Libya</x:v>
      </x:c>
      <x:c r="B30" t="str">
        <x:v>Libya</x:v>
      </x:c>
      <x:c r="C30" t="str">
        <x:v>利比亚</x:v>
      </x:c>
      <x:c r="D30" t="str">
        <x:f>'Country_Summary'!C30</x:f>
        <x:v>Lagging</x:v>
      </x:c>
      <x:c r="E30" s="28" t="n">
        <x:f>'Country_Summary'!F30/SUM('Country_Summary'!$F$2:$F$55)</x:f>
        <x:v>0.00011050673477155803</x:v>
      </x:c>
      <x:c r="F30" s="28" t="n">
        <x:f>'Country_Summary'!N30/SUM('Country_Summary'!$N$2:$N$55)</x:f>
        <x:v>0.00008935552328828326</x:v>
      </x:c>
      <x:c r="G30" s="28" t="n">
        <x:f>('Country_Summary'!F30-'Country_Summary'!E30)/(SUM('Country_Summary'!$F$2:$F$55)-SUM('Country_Summary'!$E$2:$E$55))</x:f>
        <x:v>0.00010579771476936098</x:v>
      </x:c>
      <x:c r="H30" t="n">
        <x:f>1+COUNTIF('Country_Summary'!$N$2:$N$55,"&gt;"&amp;'Country_Summary'!N30)</x:f>
        <x:v>51</x:v>
      </x:c>
      <x:c r="I30" s="28" t="n">
        <x:f>F30*((54-H30)/53)</x:f>
        <x:v>0.00000505785980877075</x:v>
      </x:c>
      <x:c r="J30" s="28" t="n">
        <x:f>SQRT(('Country_Summary'!I30/100)*('Country_Summary'!AF30/100))</x:f>
        <x:v>0.02706473720544872</x:v>
      </x:c>
      <x:c r="K30" s="28" t="n">
        <x:f>SQRT(('Country_Summary'!K30/100)*('Country_Summary'!AF30/100))</x:f>
        <x:v>0</x:v>
      </x:c>
      <x:c r="L30" s="28" t="n">
        <x:f>('Country_Summary'!AF30/100)*LN(1+'Country_Summary'!L30)</x:f>
        <x:v>0.5434691050142689</x:v>
      </x:c>
      <x:c r="M30" s="28" t="n">
        <x:f>('Country_Summary'!AF30-'Country_Summary'!AA30)/100</x:f>
        <x:v>0.0625</x:v>
      </x:c>
      <x:c r="N30" s="28" t="n">
        <x:f>(LN(1+'Country_Summary'!F30)-LN(1+'Country_Summary'!D30))/9</x:f>
        <x:v>0.05675840264066566</x:v>
      </x:c>
      <x:c r="O30" s="28" t="n">
        <x:f>(LN(1+'Country_Summary'!F30)-LN(1+'Country_Summary'!E30))/4</x:f>
        <x:v>0.08916873598468317</x:v>
      </x:c>
      <x:c r="P30" s="28" t="n">
        <x:f>('Country_Summary'!I30-'Country_Summary'!H30)/100</x:f>
        <x:v>0</x:v>
      </x:c>
      <x:c r="Q30" s="28" t="n">
        <x:f>('Country_Summary'!K30-'Country_Summary'!J30)/100</x:f>
        <x:v>0</x:v>
      </x:c>
      <x:c r="R30" s="28" t="n">
        <x:f>-'Country_Summary'!AU30</x:f>
        <x:v>-0.013249877108239971</x:v>
      </x:c>
    </x:row>
    <x:row r="31">
      <x:c r="A31" t="str">
        <x:v>Madagascar</x:v>
      </x:c>
      <x:c r="B31" t="str">
        <x:v>Madagascar</x:v>
      </x:c>
      <x:c r="C31" t="str">
        <x:v>马达加斯加</x:v>
      </x:c>
      <x:c r="D31" t="str">
        <x:f>'Country_Summary'!C31</x:f>
        <x:v>Lagging</x:v>
      </x:c>
      <x:c r="E31" s="28" t="n">
        <x:f>'Country_Summary'!F31/SUM('Country_Summary'!$F$2:$F$55)</x:f>
        <x:v>0.0031433026779465393</x:v>
      </x:c>
      <x:c r="F31" s="28" t="n">
        <x:f>'Country_Summary'!N31/SUM('Country_Summary'!$N$2:$N$55)</x:f>
        <x:v>0.002032838154808444</x:v>
      </x:c>
      <x:c r="G31" s="28" t="n">
        <x:f>('Country_Summary'!F31-'Country_Summary'!E31)/(SUM('Country_Summary'!$F$2:$F$55)-SUM('Country_Summary'!$E$2:$E$55))</x:f>
        <x:v>0.002362815629849062</x:v>
      </x:c>
      <x:c r="H31" t="n">
        <x:f>1+COUNTIF('Country_Summary'!$N$2:$N$55,"&gt;"&amp;'Country_Summary'!N31)</x:f>
        <x:v>32</x:v>
      </x:c>
      <x:c r="I31" s="28" t="n">
        <x:f>F31*((54-H31)/53)</x:f>
        <x:v>0.0008438196114299203</x:v>
      </x:c>
      <x:c r="J31" s="28" t="n">
        <x:f>SQRT(('Country_Summary'!I31/100)*('Country_Summary'!AF31/100))</x:f>
        <x:v>0.3383910459808297</x:v>
      </x:c>
      <x:c r="K31" s="28" t="n">
        <x:f>SQRT(('Country_Summary'!K31/100)*('Country_Summary'!AF31/100))</x:f>
        <x:v>0.44885632445137724</x:v>
      </x:c>
      <x:c r="L31" s="28" t="n">
        <x:f>('Country_Summary'!AF31/100)*LN(1+'Country_Summary'!L31)</x:f>
        <x:v>0.8602111773964402</x:v>
      </x:c>
      <x:c r="M31" s="28" t="n">
        <x:f>('Country_Summary'!AF31-'Country_Summary'!AA31)/100</x:f>
        <x:v>0.028500000000000015</x:v>
      </x:c>
      <x:c r="N31" s="28" t="n">
        <x:f>(LN(1+'Country_Summary'!F31)-LN(1+'Country_Summary'!D31))/9</x:f>
        <x:v>0.04856536628207516</x:v>
      </x:c>
      <x:c r="O31" s="28" t="n">
        <x:f>(LN(1+'Country_Summary'!F31)-LN(1+'Country_Summary'!E31))/4</x:f>
        <x:v>0.07551300318368348</x:v>
      </x:c>
      <x:c r="P31" s="28" t="n">
        <x:f>('Country_Summary'!I31-'Country_Summary'!H31)/100</x:f>
        <x:v>0.04800000000000001</x:v>
      </x:c>
      <x:c r="Q31" s="28" t="n">
        <x:f>('Country_Summary'!K31-'Country_Summary'!J31)/100</x:f>
        <x:v>-0.03399999999999999</x:v>
      </x:c>
      <x:c r="R31" s="28" t="n">
        <x:f>-'Country_Summary'!AU31</x:f>
        <x:v>-0.0005129852123049617</x:v>
      </x:c>
    </x:row>
    <x:row r="32">
      <x:c r="A32" t="str">
        <x:v>Malawi</x:v>
      </x:c>
      <x:c r="B32" t="str">
        <x:v>Malawi</x:v>
      </x:c>
      <x:c r="C32" t="str">
        <x:v>马拉维</x:v>
      </x:c>
      <x:c r="D32" t="str">
        <x:f>'Country_Summary'!C32</x:f>
        <x:v>Lagging</x:v>
      </x:c>
      <x:c r="E32" s="28" t="n">
        <x:f>'Country_Summary'!F32/SUM('Country_Summary'!$F$2:$F$55)</x:f>
        <x:v>0.0063357194602359935</x:v>
      </x:c>
      <x:c r="F32" s="28" t="n">
        <x:f>'Country_Summary'!N32/SUM('Country_Summary'!$N$2:$N$55)</x:f>
        <x:v>0.002770021221936781</x:v>
      </x:c>
      <x:c r="G32" s="28" t="n">
        <x:f>('Country_Summary'!F32-'Country_Summary'!E32)/(SUM('Country_Summary'!$F$2:$F$55)-SUM('Country_Summary'!$E$2:$E$55))</x:f>
        <x:v>0.0014459021018479335</x:v>
      </x:c>
      <x:c r="H32" t="n">
        <x:f>1+COUNTIF('Country_Summary'!$N$2:$N$55,"&gt;"&amp;'Country_Summary'!N32)</x:f>
        <x:v>28</x:v>
      </x:c>
      <x:c r="I32" s="28" t="n">
        <x:f>F32*((54-H32)/53)</x:f>
        <x:v>0.0013588783352897417</x:v>
      </x:c>
      <x:c r="J32" s="28" t="n">
        <x:f>SQRT(('Country_Summary'!I32/100)*('Country_Summary'!AF32/100))</x:f>
        <x:v>0.35216019082230177</x:v>
      </x:c>
      <x:c r="K32" s="28" t="n">
        <x:f>SQRT(('Country_Summary'!K32/100)*('Country_Summary'!AF32/100))</x:f>
        <x:v>0.35083044337685404</x:v>
      </x:c>
      <x:c r="L32" s="28" t="n">
        <x:f>('Country_Summary'!AF32/100)*LN(1+'Country_Summary'!L32)</x:f>
        <x:v>0.5015008535144656</x:v>
      </x:c>
      <x:c r="M32" s="28" t="n">
        <x:f>('Country_Summary'!AF32-'Country_Summary'!AA32)/100</x:f>
        <x:v>-0.024399999999999995</x:v>
      </x:c>
      <x:c r="N32" s="28" t="n">
        <x:f>(LN(1+'Country_Summary'!F32)-LN(1+'Country_Summary'!D32))/9</x:f>
        <x:v>0.030470362515463104</x:v>
      </x:c>
      <x:c r="O32" s="28" t="n">
        <x:f>(LN(1+'Country_Summary'!F32)-LN(1+'Country_Summary'!E32))/4</x:f>
        <x:v>0.020656255069252172</x:v>
      </x:c>
      <x:c r="P32" s="28" t="n">
        <x:f>('Country_Summary'!I32-'Country_Summary'!H32)/100</x:f>
        <x:v>-0.12</x:v>
      </x:c>
      <x:c r="Q32" s="28" t="n">
        <x:f>('Country_Summary'!K32-'Country_Summary'!J32)/100</x:f>
        <x:v>-0.17799999999999996</x:v>
      </x:c>
      <x:c r="R32" s="28" t="n">
        <x:f>-'Country_Summary'!AU32</x:f>
        <x:v>-0.018616252146473222</x:v>
      </x:c>
    </x:row>
    <x:row r="33">
      <x:c r="A33" t="str">
        <x:v>Mali</x:v>
      </x:c>
      <x:c r="B33" t="str">
        <x:v>Mali</x:v>
      </x:c>
      <x:c r="C33" t="str">
        <x:v>马里</x:v>
      </x:c>
      <x:c r="D33" t="str">
        <x:f>'Country_Summary'!C33</x:f>
        <x:v>Lagging</x:v>
      </x:c>
      <x:c r="E33" s="28" t="n">
        <x:f>'Country_Summary'!F33/SUM('Country_Summary'!$F$2:$F$55)</x:f>
        <x:v>0.007772307012266248</x:v>
      </x:c>
      <x:c r="F33" s="28" t="n">
        <x:f>'Country_Summary'!N33/SUM('Country_Summary'!$N$2:$N$55)</x:f>
        <x:v>0.006813358650731598</x:v>
      </x:c>
      <x:c r="G33" s="28" t="n">
        <x:f>('Country_Summary'!F33-'Country_Summary'!E33)/(SUM('Country_Summary'!$F$2:$F$55)-SUM('Country_Summary'!$E$2:$E$55))</x:f>
        <x:v>0.006488926505854141</x:v>
      </x:c>
      <x:c r="H33" t="n">
        <x:f>1+COUNTIF('Country_Summary'!$N$2:$N$55,"&gt;"&amp;'Country_Summary'!N33)</x:f>
        <x:v>20</x:v>
      </x:c>
      <x:c r="I33" s="28" t="n">
        <x:f>F33*((54-H33)/53)</x:f>
        <x:v>0.0043708338514127235</x:v>
      </x:c>
      <x:c r="J33" s="28" t="n">
        <x:f>SQRT(('Country_Summary'!I33/100)*('Country_Summary'!AF33/100))</x:f>
        <x:v>0.5265475287189182</x:v>
      </x:c>
      <x:c r="K33" s="28" t="n">
        <x:f>SQRT(('Country_Summary'!K33/100)*('Country_Summary'!AF33/100))</x:f>
        <x:v>0.5654545958783959</x:v>
      </x:c>
      <x:c r="L33" s="28" t="n">
        <x:f>('Country_Summary'!AF33/100)*LN(1+'Country_Summary'!L33)</x:f>
        <x:v>1.793221188315265</x:v>
      </x:c>
      <x:c r="M33" s="28" t="n">
        <x:f>('Country_Summary'!AF33-'Country_Summary'!AA33)/100</x:f>
        <x:v>0.0357</x:v>
      </x:c>
      <x:c r="N33" s="28" t="n">
        <x:f>(LN(1+'Country_Summary'!F33)-LN(1+'Country_Summary'!D33))/9</x:f>
        <x:v>0.07288791151909486</x:v>
      </x:c>
      <x:c r="O33" s="28" t="n">
        <x:f>(LN(1+'Country_Summary'!F33)-LN(1+'Country_Summary'!E33))/4</x:f>
        <x:v>0.08570034291821504</x:v>
      </x:c>
      <x:c r="P33" s="28" t="n">
        <x:f>('Country_Summary'!I33-'Country_Summary'!H33)/100</x:f>
        <x:v>0.07</x:v>
      </x:c>
      <x:c r="Q33" s="28" t="n">
        <x:f>('Country_Summary'!K33-'Country_Summary'!J33)/100</x:f>
        <x:v>-0.08399999999999991</x:v>
      </x:c>
      <x:c r="R33" s="28" t="n">
        <x:f>-'Country_Summary'!AU33</x:f>
        <x:v>-0.05668660115097986</x:v>
      </x:c>
    </x:row>
    <x:row r="34">
      <x:c r="A34" t="str">
        <x:v>Mauritania</x:v>
      </x:c>
      <x:c r="B34" t="str">
        <x:v>Mauritania</x:v>
      </x:c>
      <x:c r="C34" t="str">
        <x:v>毛里塔尼亚</x:v>
      </x:c>
      <x:c r="D34" t="str">
        <x:f>'Country_Summary'!C34</x:f>
        <x:v>Balancing</x:v>
      </x:c>
      <x:c r="E34" s="28" t="n">
        <x:f>'Country_Summary'!F34/SUM('Country_Summary'!$F$2:$F$55)</x:f>
        <x:v>0.003757228982232973</x:v>
      </x:c>
      <x:c r="F34" s="28" t="n">
        <x:f>'Country_Summary'!N34/SUM('Country_Summary'!$N$2:$N$55)</x:f>
        <x:v>0.0052943147548307826</x:v>
      </x:c>
      <x:c r="G34" s="28" t="n">
        <x:f>('Country_Summary'!F34-'Country_Summary'!E34)/(SUM('Country_Summary'!$F$2:$F$55)-SUM('Country_Summary'!$E$2:$E$55))</x:f>
        <x:v>0.006488926505854141</x:v>
      </x:c>
      <x:c r="H34" t="n">
        <x:f>1+COUNTIF('Country_Summary'!$N$2:$N$55,"&gt;"&amp;'Country_Summary'!N34)</x:f>
        <x:v>21</x:v>
      </x:c>
      <x:c r="I34" s="28" t="n">
        <x:f>F34*((54-H34)/53)</x:f>
        <x:v>0.003296460130366336</x:v>
      </x:c>
      <x:c r="J34" s="28" t="n">
        <x:f>SQRT(('Country_Summary'!I34/100)*('Country_Summary'!AF34/100))</x:f>
        <x:v>0.42772233984209895</x:v>
      </x:c>
      <x:c r="K34" s="28" t="n">
        <x:f>SQRT(('Country_Summary'!K34/100)*('Country_Summary'!AF34/100))</x:f>
        <x:v>0.3771416179633322</x:v>
      </x:c>
      <x:c r="L34" s="28" t="n">
        <x:f>('Country_Summary'!AF34/100)*LN(1+'Country_Summary'!L34)</x:f>
        <x:v>2.0390425586559293</x:v>
      </x:c>
      <x:c r="M34" s="28" t="n">
        <x:f>('Country_Summary'!AF34-'Country_Summary'!AA34)/100</x:f>
        <x:v>0.06669999999999994</x:v>
      </x:c>
      <x:c r="N34" s="28" t="n">
        <x:f>(LN(1+'Country_Summary'!F34)-LN(1+'Country_Summary'!D34))/9</x:f>
        <x:v>0.16426138950420416</x:v>
      </x:c>
      <x:c r="O34" s="28" t="n">
        <x:f>(LN(1+'Country_Summary'!F34)-LN(1+'Country_Summary'!E34))/4</x:f>
        <x:v>0.22866584805369494</x:v>
      </x:c>
      <x:c r="P34" s="28" t="n">
        <x:f>('Country_Summary'!I34-'Country_Summary'!H34)/100</x:f>
        <x:v>0.22099999999999997</x:v>
      </x:c>
      <x:c r="Q34" s="28" t="n">
        <x:f>('Country_Summary'!K34-'Country_Summary'!J34)/100</x:f>
        <x:v>0.105</x:v>
      </x:c>
      <x:c r="R34" s="28" t="n">
        <x:f>-'Country_Summary'!AU34</x:f>
        <x:v>-0.022978462886396222</x:v>
      </x:c>
    </x:row>
    <x:row r="35">
      <x:c r="A35" t="str">
        <x:v>Mauritius</x:v>
      </x:c>
      <x:c r="B35" t="str">
        <x:v>Mauritius</x:v>
      </x:c>
      <x:c r="C35" t="str">
        <x:v>毛里求斯</x:v>
      </x:c>
      <x:c r="D35" t="str">
        <x:f>'Country_Summary'!C35</x:f>
        <x:v>Lagging</x:v>
      </x:c>
      <x:c r="E35" s="28" t="n">
        <x:f>'Country_Summary'!F35/SUM('Country_Summary'!$F$2:$F$55)</x:f>
        <x:v>0.003904571295261717</x:v>
      </x:c>
      <x:c r="F35" s="28" t="n">
        <x:f>'Country_Summary'!N35/SUM('Country_Summary'!$N$2:$N$55)</x:f>
        <x:v>0.002926393387691277</x:v>
      </x:c>
      <x:c r="G35" s="28" t="n">
        <x:f>('Country_Summary'!F35-'Country_Summary'!E35)/(SUM('Country_Summary'!$F$2:$F$55)-SUM('Country_Summary'!$E$2:$E$55))</x:f>
        <x:v>0.0013753702920016927</x:v>
      </x:c>
      <x:c r="H35" t="n">
        <x:f>1+COUNTIF('Country_Summary'!$N$2:$N$55,"&gt;"&amp;'Country_Summary'!N35)</x:f>
        <x:v>27</x:v>
      </x:c>
      <x:c r="I35" s="28" t="n">
        <x:f>F35*((54-H35)/53)</x:f>
        <x:v>0.0014908041786351788</x:v>
      </x:c>
      <x:c r="J35" s="28" t="n">
        <x:f>SQRT(('Country_Summary'!I35/100)*('Country_Summary'!AF35/100))</x:f>
        <x:v>0.5761944116355173</x:v>
      </x:c>
      <x:c r="K35" s="28" t="n">
        <x:f>SQRT(('Country_Summary'!K35/100)*('Country_Summary'!AF35/100))</x:f>
        <x:v>0.4266145801540308</x:v>
      </x:c>
      <x:c r="L35" s="28" t="n">
        <x:f>('Country_Summary'!AF35/100)*LN(1+'Country_Summary'!L35)</x:f>
        <x:v>5.474369310328396</x:v>
      </x:c>
      <x:c r="M35" s="28" t="n">
        <x:f>('Country_Summary'!AF35-'Country_Summary'!AA35)/100</x:f>
        <x:v>0.0020999999999999374</x:v>
      </x:c>
      <x:c r="N35" s="28" t="n">
        <x:f>(LN(1+'Country_Summary'!F35)-LN(1+'Country_Summary'!D35))/9</x:f>
        <x:v>0.058749904439432794</x:v>
      </x:c>
      <x:c r="O35" s="28" t="n">
        <x:f>(LN(1+'Country_Summary'!F35)-LN(1+'Country_Summary'!E35))/4</x:f>
        <x:v>0.03260037490389878</x:v>
      </x:c>
      <x:c r="P35" s="28" t="n">
        <x:f>('Country_Summary'!I35-'Country_Summary'!H35)/100</x:f>
        <x:v>0.10600000000000001</x:v>
      </x:c>
      <x:c r="Q35" s="28" t="n">
        <x:f>('Country_Summary'!K35-'Country_Summary'!J35)/100</x:f>
        <x:v>-0.03600000000000001</x:v>
      </x:c>
      <x:c r="R35" s="28" t="n">
        <x:f>-'Country_Summary'!AU35</x:f>
        <x:v>0.0001248439491224218</x:v>
      </x:c>
    </x:row>
    <x:row r="36">
      <x:c r="A36" t="str">
        <x:v>Morocco</x:v>
      </x:c>
      <x:c r="B36" t="str">
        <x:v>Morocco</x:v>
      </x:c>
      <x:c r="C36" t="str">
        <x:v>摩洛哥</x:v>
      </x:c>
      <x:c r="D36" t="str">
        <x:f>'Country_Summary'!C36</x:f>
        <x:v>Leading</x:v>
      </x:c>
      <x:c r="E36" s="28" t="n">
        <x:f>'Country_Summary'!F36/SUM('Country_Summary'!$F$2:$F$55)</x:f>
        <x:v>0.05956313004186978</x:v>
      </x:c>
      <x:c r="F36" s="28" t="n">
        <x:f>'Country_Summary'!N36/SUM('Country_Summary'!$N$2:$N$55)</x:f>
        <x:v>0.05437283592092036</x:v>
      </x:c>
      <x:c r="G36" s="28" t="n">
        <x:f>('Country_Summary'!F36-'Country_Summary'!E36)/(SUM('Country_Summary'!$F$2:$F$55)-SUM('Country_Summary'!$E$2:$E$55))</x:f>
        <x:v>0.04277754267174496</x:v>
      </x:c>
      <x:c r="H36" t="n">
        <x:f>1+COUNTIF('Country_Summary'!$N$2:$N$55,"&gt;"&amp;'Country_Summary'!N36)</x:f>
        <x:v>4</x:v>
      </x:c>
      <x:c r="I36" s="28" t="n">
        <x:f>F36*((54-H36)/53)</x:f>
        <x:v>0.05129512822728336</x:v>
      </x:c>
      <x:c r="J36" s="28" t="n">
        <x:f>SQRT(('Country_Summary'!I36/100)*('Country_Summary'!AF36/100))</x:f>
        <x:v>0.6292853089020909</x:v>
      </x:c>
      <x:c r="K36" s="28" t="n">
        <x:f>SQRT(('Country_Summary'!K36/100)*('Country_Summary'!AF36/100))</x:f>
        <x:v>0.4949747468305833</x:v>
      </x:c>
      <x:c r="L36" s="28" t="n">
        <x:f>('Country_Summary'!AF36/100)*LN(1+'Country_Summary'!L36)</x:f>
        <x:v>4.814620410170298</x:v>
      </x:c>
      <x:c r="M36" s="28" t="n">
        <x:f>('Country_Summary'!AF36-'Country_Summary'!AA36)/100</x:f>
        <x:v>0.01900000000000006</x:v>
      </x:c>
      <x:c r="N36" s="28" t="n">
        <x:f>(LN(1+'Country_Summary'!F36)-LN(1+'Country_Summary'!D36))/9</x:f>
        <x:v>0.07738335987657802</x:v>
      </x:c>
      <x:c r="O36" s="28" t="n">
        <x:f>(LN(1+'Country_Summary'!F36)-LN(1+'Country_Summary'!E36))/4</x:f>
        <x:v>0.07192051811294498</x:v>
      </x:c>
      <x:c r="P36" s="28" t="n">
        <x:f>('Country_Summary'!I36-'Country_Summary'!H36)/100</x:f>
        <x:v>0.10700000000000003</x:v>
      </x:c>
      <x:c r="Q36" s="28" t="n">
        <x:f>('Country_Summary'!K36-'Country_Summary'!J36)/100</x:f>
        <x:v>0.092</x:v>
      </x:c>
      <x:c r="R36" s="28" t="n">
        <x:f>-'Country_Summary'!AU36</x:f>
        <x:v>0.012396246755725215</x:v>
      </x:c>
    </x:row>
    <x:row r="37">
      <x:c r="A37" t="str">
        <x:v>Mozambique</x:v>
      </x:c>
      <x:c r="B37" t="str">
        <x:v>Mozambique</x:v>
      </x:c>
      <x:c r="C37" t="str">
        <x:v>莫桑比克</x:v>
      </x:c>
      <x:c r="D37" t="str">
        <x:f>'Country_Summary'!C37</x:f>
        <x:v>Balancing</x:v>
      </x:c>
      <x:c r="E37" s="28" t="n">
        <x:f>'Country_Summary'!F37/SUM('Country_Summary'!$F$2:$F$55)</x:f>
        <x:v>0.030008717753520868</x:v>
      </x:c>
      <x:c r="F37" s="28" t="n">
        <x:f>'Country_Summary'!N37/SUM('Country_Summary'!$N$2:$N$55)</x:f>
        <x:v>0.0038869652630403218</x:v>
      </x:c>
      <x:c r="G37" s="28" t="n">
        <x:f>('Country_Summary'!F37-'Country_Summary'!E37)/(SUM('Country_Summary'!$F$2:$F$55)-SUM('Country_Summary'!$E$2:$E$55))</x:f>
        <x:v>0.003949781351389477</x:v>
      </x:c>
      <x:c r="H37" t="n">
        <x:f>1+COUNTIF('Country_Summary'!$N$2:$N$55,"&gt;"&amp;'Country_Summary'!N37)</x:f>
        <x:v>23</x:v>
      </x:c>
      <x:c r="I37" s="28" t="n">
        <x:f>F37*((54-H37)/53)</x:f>
        <x:v>0.0022735079840424523</x:v>
      </x:c>
      <x:c r="J37" s="28" t="n">
        <x:f>SQRT(('Country_Summary'!I37/100)*('Country_Summary'!AF37/100))</x:f>
        <x:v>0.5303188663436367</x:v>
      </x:c>
      <x:c r="K37" s="28" t="n">
        <x:f>SQRT(('Country_Summary'!K37/100)*('Country_Summary'!AF37/100))</x:f>
        <x:v>0.5512933883151511</x:v>
      </x:c>
      <x:c r="L37" s="28" t="n">
        <x:f>('Country_Summary'!AF37/100)*LN(1+'Country_Summary'!L37)</x:f>
        <x:v>1.5278195206992686</x:v>
      </x:c>
      <x:c r="M37" s="28" t="n">
        <x:f>('Country_Summary'!AF37-'Country_Summary'!AA37)/100</x:f>
        <x:v>0.04909999999999996</x:v>
      </x:c>
      <x:c r="N37" s="28" t="n">
        <x:f>(LN(1+'Country_Summary'!F37)-LN(1+'Country_Summary'!D37))/9</x:f>
        <x:v>0.008202762200379373</x:v>
      </x:c>
      <x:c r="O37" s="28" t="n">
        <x:f>(LN(1+'Country_Summary'!F37)-LN(1+'Country_Summary'!E37))/4</x:f>
        <x:v>0.011722532471885705</x:v>
      </x:c>
      <x:c r="P37" s="28" t="n">
        <x:f>('Country_Summary'!I37-'Country_Summary'!H37)/100</x:f>
        <x:v>-0.018000000000000113</x:v>
      </x:c>
      <x:c r="Q37" s="28" t="n">
        <x:f>('Country_Summary'!K37-'Country_Summary'!J37)/100</x:f>
        <x:v>-0.11399999999999992</x:v>
      </x:c>
      <x:c r="R37" s="28" t="n">
        <x:f>-'Country_Summary'!AU37</x:f>
        <x:v>-0.00695319156864258</x:v>
      </x:c>
    </x:row>
    <x:row r="38">
      <x:c r="A38" t="str">
        <x:v>Namibia</x:v>
      </x:c>
      <x:c r="B38" t="str">
        <x:v>Namibia</x:v>
      </x:c>
      <x:c r="C38" t="str">
        <x:v>纳米比亚</x:v>
      </x:c>
      <x:c r="D38" t="str">
        <x:f>'Country_Summary'!C38</x:f>
        <x:v>Balancing</x:v>
      </x:c>
      <x:c r="E38" s="28" t="n">
        <x:f>'Country_Summary'!F38/SUM('Country_Summary'!$F$2:$F$55)</x:f>
        <x:v>0.009172058986039316</x:v>
      </x:c>
      <x:c r="F38" s="28" t="n">
        <x:f>'Country_Summary'!N38/SUM('Country_Summary'!$N$2:$N$55)</x:f>
        <x:v>0.008332402546632414</x:v>
      </x:c>
      <x:c r="G38" s="28" t="n">
        <x:f>('Country_Summary'!F38-'Country_Summary'!E38)/(SUM('Country_Summary'!$F$2:$F$55)-SUM('Country_Summary'!$E$2:$E$55))</x:f>
        <x:v>0.006982649174777825</x:v>
      </x:c>
      <x:c r="H38" t="n">
        <x:f>1+COUNTIF('Country_Summary'!$N$2:$N$55,"&gt;"&amp;'Country_Summary'!N38)</x:f>
        <x:v>18</x:v>
      </x:c>
      <x:c r="I38" s="28" t="n">
        <x:f>F38*((54-H38)/53)</x:f>
        <x:v>0.00565974512601447</x:v>
      </x:c>
      <x:c r="J38" s="28" t="n">
        <x:f>SQRT(('Country_Summary'!I38/100)*('Country_Summary'!AF38/100))</x:f>
        <x:v>0.6699450723753404</x:v>
      </x:c>
      <x:c r="K38" s="28" t="n">
        <x:f>SQRT(('Country_Summary'!K38/100)*('Country_Summary'!AF38/100))</x:f>
        <x:v>0.7193032044972412</x:v>
      </x:c>
      <x:c r="L38" s="28" t="n">
        <x:f>('Country_Summary'!AF38/100)*LN(1+'Country_Summary'!L38)</x:f>
        <x:v>2.996860926294593</x:v>
      </x:c>
      <x:c r="M38" s="28" t="n">
        <x:f>('Country_Summary'!AF38-'Country_Summary'!AA38)/100</x:f>
        <x:v>0.04350000000000001</x:v>
      </x:c>
      <x:c r="N38" s="28" t="n">
        <x:f>(LN(1+'Country_Summary'!F38)-LN(1+'Country_Summary'!D38))/9</x:f>
        <x:v>0.07671966133378522</x:v>
      </x:c>
      <x:c r="O38" s="28" t="n">
        <x:f>(LN(1+'Country_Summary'!F38)-LN(1+'Country_Summary'!E38))/4</x:f>
        <x:v>0.07687117493699036</x:v>
      </x:c>
      <x:c r="P38" s="28" t="n">
        <x:f>('Country_Summary'!I38-'Country_Summary'!H38)/100</x:f>
        <x:v>0.12200000000000003</x:v>
      </x:c>
      <x:c r="Q38" s="28" t="n">
        <x:f>('Country_Summary'!K38-'Country_Summary'!J38)/100</x:f>
        <x:v>0.015</x:v>
      </x:c>
      <x:c r="R38" s="28" t="n">
        <x:f>-'Country_Summary'!AU38</x:f>
        <x:v>-0.009985750401347993</x:v>
      </x:c>
    </x:row>
    <x:row r="39">
      <x:c r="A39" t="str">
        <x:v>Niger</x:v>
      </x:c>
      <x:c r="B39" t="str">
        <x:v>Niger</x:v>
      </x:c>
      <x:c r="C39" t="str">
        <x:v>尼日尔</x:v>
      </x:c>
      <x:c r="D39" t="str">
        <x:f>'Country_Summary'!C39</x:f>
        <x:v>Lagging</x:v>
      </x:c>
      <x:c r="E39" s="28" t="n">
        <x:f>'Country_Summary'!F39/SUM('Country_Summary'!$F$2:$F$55)</x:f>
        <x:v>0.0010191176651154796</x:v>
      </x:c>
      <x:c r="F39" s="28" t="n">
        <x:f>'Country_Summary'!N39/SUM('Country_Summary'!$N$2:$N$55)</x:f>
        <x:v>0.0016977549424773818</x:v>
      </x:c>
      <x:c r="G39" s="28" t="n">
        <x:f>('Country_Summary'!F39-'Country_Summary'!E39)/(SUM('Country_Summary'!$F$2:$F$55)-SUM('Country_Summary'!$E$2:$E$55))</x:f>
        <x:v>0.002398081534772182</x:v>
      </x:c>
      <x:c r="H39" t="n">
        <x:f>1+COUNTIF('Country_Summary'!$N$2:$N$55,"&gt;"&amp;'Country_Summary'!N39)</x:f>
        <x:v>35</x:v>
      </x:c>
      <x:c r="I39" s="28" t="n">
        <x:f>F39*((54-H39)/53)</x:f>
        <x:v>0.0006086291303220802</x:v>
      </x:c>
      <x:c r="J39" s="28" t="n">
        <x:f>SQRT(('Country_Summary'!I39/100)*('Country_Summary'!AF39/100))</x:f>
        <x:v>0.17707625476048447</x:v>
      </x:c>
      <x:c r="K39" s="28" t="n">
        <x:f>SQRT(('Country_Summary'!K39/100)*('Country_Summary'!AF39/100))</x:f>
        <x:v>0.1151781229227148</x:v>
      </x:c>
      <x:c r="L39" s="28" t="n">
        <x:f>('Country_Summary'!AF39/100)*LN(1+'Country_Summary'!L39)</x:f>
        <x:v>0.2836083817157627</x:v>
      </x:c>
      <x:c r="M39" s="28" t="n">
        <x:f>('Country_Summary'!AF39-'Country_Summary'!AA39)/100</x:f>
        <x:v>0.025</x:v>
      </x:c>
      <x:c r="N39" s="28" t="n">
        <x:f>(LN(1+'Country_Summary'!F39)-LN(1+'Country_Summary'!D39))/9</x:f>
        <x:v>0.26126391746260863</x:v>
      </x:c>
      <x:c r="O39" s="28" t="n">
        <x:f>(LN(1+'Country_Summary'!F39)-LN(1+'Country_Summary'!E39))/4</x:f>
        <x:v>0.41455701915088305</x:v>
      </x:c>
      <x:c r="P39" s="28" t="n">
        <x:f>('Country_Summary'!I39-'Country_Summary'!H39)/100</x:f>
        <x:v>0.131</x:v>
      </x:c>
      <x:c r="Q39" s="28" t="n">
        <x:f>('Country_Summary'!K39-'Country_Summary'!J39)/100</x:f>
        <x:v>0.043</x:v>
      </x:c>
      <x:c r="R39" s="28" t="n">
        <x:f>-'Country_Summary'!AU39</x:f>
        <x:v>-0.05729930717153575</x:v>
      </x:c>
    </x:row>
    <x:row r="40">
      <x:c r="A40" t="str">
        <x:v>Nigeria</x:v>
      </x:c>
      <x:c r="B40" t="str">
        <x:v>Nigeria</x:v>
      </x:c>
      <x:c r="C40" t="str">
        <x:v>尼日利亚</x:v>
      </x:c>
      <x:c r="D40" t="str">
        <x:f>'Country_Summary'!C40</x:f>
        <x:v>Balancing</x:v>
      </x:c>
      <x:c r="E40" s="28" t="n">
        <x:f>'Country_Summary'!F40/SUM('Country_Summary'!$F$2:$F$55)</x:f>
        <x:v>0.03936495463084611</x:v>
      </x:c>
      <x:c r="F40" s="28" t="n">
        <x:f>'Country_Summary'!N40/SUM('Country_Summary'!$N$2:$N$55)</x:f>
        <x:v>0.023790908075505417</x:v>
      </x:c>
      <x:c r="G40" s="28" t="n">
        <x:f>('Country_Summary'!F40-'Country_Summary'!E40)/(SUM('Country_Summary'!$F$2:$F$55)-SUM('Country_Summary'!$E$2:$E$55))</x:f>
        <x:v>0.03441952320496544</x:v>
      </x:c>
      <x:c r="H40" t="n">
        <x:f>1+COUNTIF('Country_Summary'!$N$2:$N$55,"&gt;"&amp;'Country_Summary'!N40)</x:f>
        <x:v>10</x:v>
      </x:c>
      <x:c r="I40" s="28" t="n">
        <x:f>F40*((54-H40)/53)</x:f>
        <x:v>0.01975094255324978</x:v>
      </x:c>
      <x:c r="J40" s="28" t="n">
        <x:f>SQRT(('Country_Summary'!I40/100)*('Country_Summary'!AF40/100))</x:f>
        <x:v>0.3652317072763535</x:v>
      </x:c>
      <x:c r="K40" s="28" t="n">
        <x:f>SQRT(('Country_Summary'!K40/100)*('Country_Summary'!AF40/100))</x:f>
        <x:v>0.4507225310543062</x:v>
      </x:c>
      <x:c r="L40" s="28" t="n">
        <x:f>('Country_Summary'!AF40/100)*LN(1+'Country_Summary'!L40)</x:f>
        <x:v>1.623518758143155</x:v>
      </x:c>
      <x:c r="M40" s="28" t="n">
        <x:f>('Country_Summary'!AF40-'Country_Summary'!AA40)/100</x:f>
        <x:v>0.046899999999999976</x:v>
      </x:c>
      <x:c r="N40" s="28" t="n">
        <x:f>(LN(1+'Country_Summary'!F40)-LN(1+'Country_Summary'!D40))/9</x:f>
        <x:v>0.044843994298384454</x:v>
      </x:c>
      <x:c r="O40" s="28" t="n">
        <x:f>(LN(1+'Country_Summary'!F40)-LN(1+'Country_Summary'!E40))/4</x:f>
        <x:v>0.09072150131515544</x:v>
      </x:c>
      <x:c r="P40" s="28" t="n">
        <x:f>('Country_Summary'!I40-'Country_Summary'!H40)/100</x:f>
        <x:v>0.04699999999999999</x:v>
      </x:c>
      <x:c r="Q40" s="28" t="n">
        <x:f>('Country_Summary'!K40-'Country_Summary'!J40)/100</x:f>
        <x:v>0.04600000000000001</x:v>
      </x:c>
      <x:c r="R40" s="28" t="n">
        <x:f>-'Country_Summary'!AU40</x:f>
        <x:v>-0.007800010250991818</x:v>
      </x:c>
    </x:row>
    <x:row r="41">
      <x:c r="A41" t="str">
        <x:v>Rwanda</x:v>
      </x:c>
      <x:c r="B41" t="str">
        <x:v>Rwanda</x:v>
      </x:c>
      <x:c r="C41" t="str">
        <x:v>卢旺达</x:v>
      </x:c>
      <x:c r="D41" t="str">
        <x:f>'Country_Summary'!C41</x:f>
        <x:v>Balancing</x:v>
      </x:c>
      <x:c r="E41" s="28" t="n">
        <x:f>'Country_Summary'!F41/SUM('Country_Summary'!$F$2:$F$55)</x:f>
        <x:v>0.001559372812887541</x:v>
      </x:c>
      <x:c r="F41" s="28" t="n">
        <x:f>'Country_Summary'!N41/SUM('Country_Summary'!$N$2:$N$55)</x:f>
        <x:v>0.00042443873561934546</x:v>
      </x:c>
      <x:c r="G41" s="28" t="n">
        <x:f>('Country_Summary'!F41-'Country_Summary'!E41)/(SUM('Country_Summary'!$F$2:$F$55)-SUM('Country_Summary'!$E$2:$E$55))</x:f>
        <x:v>-0.0002468613344618423</x:v>
      </x:c>
      <x:c r="H41" t="n">
        <x:f>1+COUNTIF('Country_Summary'!$N$2:$N$55,"&gt;"&amp;'Country_Summary'!N41)</x:f>
        <x:v>46</x:v>
      </x:c>
      <x:c r="I41" s="28" t="n">
        <x:f>F41*((54-H41)/53)</x:f>
        <x:v>0.0000640662242444295</x:v>
      </x:c>
      <x:c r="J41" s="28" t="n">
        <x:f>SQRT(('Country_Summary'!I41/100)*('Country_Summary'!AF41/100))</x:f>
        <x:v>0.488207947497785</x:v>
      </x:c>
      <x:c r="K41" s="28" t="n">
        <x:f>SQRT(('Country_Summary'!K41/100)*('Country_Summary'!AF41/100))</x:f>
        <x:v>0.5386148902509101</x:v>
      </x:c>
      <x:c r="L41" s="28" t="n">
        <x:f>('Country_Summary'!AF41/100)*LN(1+'Country_Summary'!L41)</x:f>
        <x:v>1.6725159371809766</x:v>
      </x:c>
      <x:c r="M41" s="28" t="n">
        <x:f>('Country_Summary'!AF41-'Country_Summary'!AA41)/100</x:f>
        <x:v>0.25939999999999996</x:v>
      </x:c>
      <x:c r="N41" s="28" t="n">
        <x:f>(LN(1+'Country_Summary'!F41)-LN(1+'Country_Summary'!D41))/9</x:f>
        <x:v>0.01785359796560816</x:v>
      </x:c>
      <x:c r="O41" s="28" t="n">
        <x:f>(LN(1+'Country_Summary'!F41)-LN(1+'Country_Summary'!E41))/4</x:f>
        <x:v>-0.013311128629703184</x:v>
      </x:c>
      <x:c r="P41" s="28" t="n">
        <x:f>('Country_Summary'!I41-'Country_Summary'!H41)/100</x:f>
        <x:v>-0.11300000000000004</x:v>
      </x:c>
      <x:c r="Q41" s="28" t="n">
        <x:f>('Country_Summary'!K41-'Country_Summary'!J41)/100</x:f>
        <x:v>-0.031000000000000014</x:v>
      </x:c>
      <x:c r="R41" s="28" t="n">
        <x:f>-'Country_Summary'!AU41</x:f>
        <x:v>-0.0530838825794385</x:v>
      </x:c>
    </x:row>
    <x:row r="42">
      <x:c r="A42" t="str">
        <x:v>Sao Tome Prn</x:v>
      </x:c>
      <x:c r="B42" t="str">
        <x:v>Sao Tome and Principe</x:v>
      </x:c>
      <x:c r="C42" t="str">
        <x:v>圣多美和普林西比</x:v>
      </x:c>
      <x:c r="D42" t="str">
        <x:f>'Country_Summary'!C42</x:f>
        <x:v>Lagging</x:v>
      </x:c>
      <x:c r="E42" s="28" t="n">
        <x:f>'Country_Summary'!F42/SUM('Country_Summary'!$F$2:$F$55)</x:f>
        <x:v>0.00006139263042864334</x:v>
      </x:c>
      <x:c r="F42" s="28" t="n">
        <x:f>'Country_Summary'!N42/SUM('Country_Summary'!$N$2:$N$55)</x:f>
        <x:v>0.00006701664246621244</x:v>
      </x:c>
      <x:c r="G42" s="28" t="n">
        <x:f>('Country_Summary'!F42-'Country_Summary'!E42)/(SUM('Country_Summary'!$F$2:$F$55)-SUM('Country_Summary'!$E$2:$E$55))</x:f>
        <x:v>0.00010579771476936098</x:v>
      </x:c>
      <x:c r="H42" t="n">
        <x:f>1+COUNTIF('Country_Summary'!$N$2:$N$55,"&gt;"&amp;'Country_Summary'!N42)</x:f>
        <x:v>52</x:v>
      </x:c>
      <x:c r="I42" s="28" t="n">
        <x:f>F42*((54-H42)/53)</x:f>
        <x:v>0.000002528929904385375</x:v>
      </x:c>
      <x:c r="J42" s="28" t="n">
        <x:f>SQRT(('Country_Summary'!I42/100)*('Country_Summary'!AF42/100))</x:f>
        <x:v>0.3096749909178977</x:v>
      </x:c>
      <x:c r="K42" s="28" t="n">
        <x:f>SQRT(('Country_Summary'!K42/100)*('Country_Summary'!AF42/100))</x:f>
        <x:v>0.22806314914952833</x:v>
      </x:c>
      <x:c r="L42" s="28" t="n">
        <x:f>('Country_Summary'!AF42/100)*LN(1+'Country_Summary'!L42)</x:f>
        <x:v>1.9848954356445523</x:v>
      </x:c>
      <x:c r="M42" s="28" t="n">
        <x:f>('Country_Summary'!AF42-'Country_Summary'!AA42)/100</x:f>
        <x:v>0.10269999999999996</x:v>
      </x:c>
      <x:c r="N42" s="28" t="n">
        <x:f>(LN(1+'Country_Summary'!F42)-LN(1+'Country_Summary'!D42))/9</x:f>
        <x:v>0.07701635339554946</x:v>
      </x:c>
      <x:c r="O42" s="28" t="n">
        <x:f>(LN(1+'Country_Summary'!F42)-LN(1+'Country_Summary'!E42))/4</x:f>
        <x:v>0.1732867951399863</x:v>
      </x:c>
      <x:c r="P42" s="28" t="n">
        <x:f>('Country_Summary'!I42-'Country_Summary'!H42)/100</x:f>
        <x:v>0.04800000000000001</x:v>
      </x:c>
      <x:c r="Q42" s="28" t="n">
        <x:f>('Country_Summary'!K42-'Country_Summary'!J42)/100</x:f>
        <x:v>0.008000000000000007</x:v>
      </x:c>
      <x:c r="R42" s="28" t="n">
        <x:f>-'Country_Summary'!AU42</x:f>
        <x:v>-0.004836159639442972</x:v>
      </x:c>
    </x:row>
    <x:row r="43">
      <x:c r="A43" t="str">
        <x:v>Senegal</x:v>
      </x:c>
      <x:c r="B43" t="str">
        <x:v>Senegal</x:v>
      </x:c>
      <x:c r="C43" t="str">
        <x:v>塞内加尔</x:v>
      </x:c>
      <x:c r="D43" t="str">
        <x:f>'Country_Summary'!C43</x:f>
        <x:v>Balancing</x:v>
      </x:c>
      <x:c r="E43" s="28" t="n">
        <x:f>'Country_Summary'!F43/SUM('Country_Summary'!$F$2:$F$55)</x:f>
        <x:v>0.007674078803580418</x:v>
      </x:c>
      <x:c r="F43" s="28" t="n">
        <x:f>'Country_Summary'!N43/SUM('Country_Summary'!$N$2:$N$55)</x:f>
        <x:v>0.011705573550765107</x:v>
      </x:c>
      <x:c r="G43" s="28" t="n">
        <x:f>('Country_Summary'!F43-'Country_Summary'!E43)/(SUM('Country_Summary'!$F$2:$F$55)-SUM('Country_Summary'!$E$2:$E$55))</x:f>
        <x:v>0.006594724220623501</x:v>
      </x:c>
      <x:c r="H43" t="n">
        <x:f>1+COUNTIF('Country_Summary'!$N$2:$N$55,"&gt;"&amp;'Country_Summary'!N43)</x:f>
        <x:v>14</x:v>
      </x:c>
      <x:c r="I43" s="28" t="n">
        <x:f>F43*((54-H43)/53)</x:f>
        <x:v>0.008834395132652911</x:v>
      </x:c>
      <x:c r="J43" s="28" t="n">
        <x:f>SQRT(('Country_Summary'!I43/100)*('Country_Summary'!AF43/100))</x:f>
        <x:v>0.41579562287258387</x:v>
      </x:c>
      <x:c r="K43" s="28" t="n">
        <x:f>SQRT(('Country_Summary'!K43/100)*('Country_Summary'!AF43/100))</x:f>
        <x:v>0.29211299183706296</x:v>
      </x:c>
      <x:c r="L43" s="28" t="n">
        <x:f>('Country_Summary'!AF43/100)*LN(1+'Country_Summary'!L43)</x:f>
        <x:v>2.4455109545752123</x:v>
      </x:c>
      <x:c r="M43" s="28" t="n">
        <x:f>('Country_Summary'!AF43-'Country_Summary'!AA43)/100</x:f>
        <x:v>0.08200000000000003</x:v>
      </x:c>
      <x:c r="N43" s="28" t="n">
        <x:f>(LN(1+'Country_Summary'!F43)-LN(1+'Country_Summary'!D43))/9</x:f>
        <x:v>0.20159750642398086</x:v>
      </x:c>
      <x:c r="O43" s="28" t="n">
        <x:f>(LN(1+'Country_Summary'!F43)-LN(1+'Country_Summary'!E43))/4</x:f>
        <x:v>0.08871273950623171</x:v>
      </x:c>
      <x:c r="P43" s="28" t="n">
        <x:f>('Country_Summary'!I43-'Country_Summary'!H43)/100</x:f>
        <x:v>0.10800000000000001</x:v>
      </x:c>
      <x:c r="Q43" s="28" t="n">
        <x:f>('Country_Summary'!K43-'Country_Summary'!J43)/100</x:f>
        <x:v>0.095</x:v>
      </x:c>
      <x:c r="R43" s="28" t="n">
        <x:f>-'Country_Summary'!AU43</x:f>
        <x:v>-0.02173142143164668</x:v>
      </x:c>
    </x:row>
    <x:row r="44">
      <x:c r="A44" t="str">
        <x:v>Seychelles</x:v>
      </x:c>
      <x:c r="B44" t="str">
        <x:v>Seychelles</x:v>
      </x:c>
      <x:c r="C44" t="str">
        <x:v>塞舌尔</x:v>
      </x:c>
      <x:c r="D44" t="str">
        <x:f>'Country_Summary'!C44</x:f>
        <x:v>Lagging</x:v>
      </x:c>
      <x:c r="E44" s="28" t="n">
        <x:f>'Country_Summary'!F44/SUM('Country_Summary'!$F$2:$F$55)</x:f>
        <x:v>0.00030696315214321675</x:v>
      </x:c>
      <x:c r="F44" s="28" t="n">
        <x:f>'Country_Summary'!N44/SUM('Country_Summary'!$N$2:$N$55)</x:f>
        <x:v>0.00037976097397520386</x:v>
      </x:c>
      <x:c r="G44" s="28" t="n">
        <x:f>('Country_Summary'!F44-'Country_Summary'!E44)/(SUM('Country_Summary'!$F$2:$F$55)-SUM('Country_Summary'!$E$2:$E$55))</x:f>
        <x:v>0.00010579771476936098</x:v>
      </x:c>
      <x:c r="H44" t="n">
        <x:f>1+COUNTIF('Country_Summary'!$N$2:$N$55,"&gt;"&amp;'Country_Summary'!N44)</x:f>
        <x:v>47</x:v>
      </x:c>
      <x:c r="I44" s="28" t="n">
        <x:f>F44*((54-H44)/53)</x:f>
        <x:v>0.00005015710977030994</x:v>
      </x:c>
      <x:c r="J44" s="28" t="n">
        <x:f>SQRT(('Country_Summary'!I44/100)*('Country_Summary'!AF44/100))</x:f>
        <x:v>0.433589667773576</x:v>
      </x:c>
      <x:c r="K44" s="28" t="n">
        <x:f>SQRT(('Country_Summary'!K44/100)*('Country_Summary'!AF44/100))</x:f>
        <x:v>0.23664319132398462</x:v>
      </x:c>
      <x:c r="L44" s="28" t="n">
        <x:f>('Country_Summary'!AF44/100)*LN(1+'Country_Summary'!L44)</x:f>
        <x:v>5.210032451680465</x:v>
      </x:c>
      <x:c r="M44" s="28" t="n">
        <x:f>('Country_Summary'!AF44-'Country_Summary'!AA44)/100</x:f>
        <x:v>0</x:v>
      </x:c>
      <x:c r="N44" s="28" t="n">
        <x:f>(LN(1+'Country_Summary'!F44)-LN(1+'Country_Summary'!D44))/9</x:f>
        <x:v>0.1178746622983625</x:v>
      </x:c>
      <x:c r="O44" s="28" t="n">
        <x:f>(LN(1+'Country_Summary'!F44)-LN(1+'Country_Summary'!E44))/4</x:f>
        <x:v>0.030650580523083115</x:v>
      </x:c>
      <x:c r="P44" s="28" t="n">
        <x:f>('Country_Summary'!I44-'Country_Summary'!H44)/100</x:f>
        <x:v>0.117</x:v>
      </x:c>
      <x:c r="Q44" s="28" t="n">
        <x:f>('Country_Summary'!K44-'Country_Summary'!J44)/100</x:f>
        <x:v>0.033</x:v>
      </x:c>
      <x:c r="R44" s="28" t="n">
        <x:f>-'Country_Summary'!AU44</x:f>
        <x:v>-0.006800921189345744</x:v>
      </x:c>
    </x:row>
    <x:row r="45">
      <x:c r="A45" t="str">
        <x:v>Sierra Leone</x:v>
      </x:c>
      <x:c r="B45" t="str">
        <x:v>Sierra Leone</x:v>
      </x:c>
      <x:c r="C45" t="str">
        <x:v>塞拉利昂</x:v>
      </x:c>
      <x:c r="D45" t="str">
        <x:f>'Country_Summary'!C45</x:f>
        <x:v>Lagging</x:v>
      </x:c>
      <x:c r="E45" s="28" t="n">
        <x:f>'Country_Summary'!F45/SUM('Country_Summary'!$F$2:$F$55)</x:f>
        <x:v>0.001375194921601611</x:v>
      </x:c>
      <x:c r="F45" s="28" t="n">
        <x:f>'Country_Summary'!N45/SUM('Country_Summary'!$N$2:$N$55)</x:f>
        <x:v>0.0004691164972634871</x:v>
      </x:c>
      <x:c r="G45" s="28" t="n">
        <x:f>('Country_Summary'!F45-'Country_Summary'!E45)/(SUM('Country_Summary'!$F$2:$F$55)-SUM('Country_Summary'!$E$2:$E$55))</x:f>
        <x:v>0.00021159542953872197</x:v>
      </x:c>
      <x:c r="H45" t="n">
        <x:f>1+COUNTIF('Country_Summary'!$N$2:$N$55,"&gt;"&amp;'Country_Summary'!N45)</x:f>
        <x:v>45</x:v>
      </x:c>
      <x:c r="I45" s="28" t="n">
        <x:f>F45*((54-H45)/53)</x:f>
        <x:v>0.00007966129198813931</x:v>
      </x:c>
      <x:c r="J45" s="28" t="n">
        <x:f>SQRT(('Country_Summary'!I45/100)*('Country_Summary'!AF45/100))</x:f>
        <x:v>0.39863329013016463</x:v>
      </x:c>
      <x:c r="K45" s="28" t="n">
        <x:f>SQRT(('Country_Summary'!K45/100)*('Country_Summary'!AF45/100))</x:f>
        <x:v>0.4262164942843015</x:v>
      </x:c>
      <x:c r="L45" s="28" t="n">
        <x:f>('Country_Summary'!AF45/100)*LN(1+'Country_Summary'!L45)</x:f>
        <x:v>0.9457222654980137</x:v>
      </x:c>
      <x:c r="M45" s="28" t="n">
        <x:f>('Country_Summary'!AF45-'Country_Summary'!AA45)/100</x:f>
        <x:v>0.09449999999999996</x:v>
      </x:c>
      <x:c r="N45" s="28" t="n">
        <x:f>(LN(1+'Country_Summary'!F45)-LN(1+'Country_Summary'!D45))/9</x:f>
        <x:v>0.02284436018481115</x:v>
      </x:c>
      <x:c r="O45" s="28" t="n">
        <x:f>(LN(1+'Country_Summary'!F45)-LN(1+'Country_Summary'!E45))/4</x:f>
        <x:v>0.01363974606260876</x:v>
      </x:c>
      <x:c r="P45" s="28" t="n">
        <x:f>('Country_Summary'!I45-'Country_Summary'!H45)/100</x:f>
        <x:v>-0.10799999999999997</x:v>
      </x:c>
      <x:c r="Q45" s="28" t="n">
        <x:f>('Country_Summary'!K45-'Country_Summary'!J45)/100</x:f>
        <x:v>-0.23199999999999996</x:v>
      </x:c>
      <x:c r="R45" s="28" t="n">
        <x:f>-'Country_Summary'!AU45</x:f>
        <x:v>-0.05959903020548687</x:v>
      </x:c>
    </x:row>
    <x:row r="46">
      <x:c r="A46" t="str">
        <x:v>Somalia</x:v>
      </x:c>
      <x:c r="B46" t="str">
        <x:v>Somalia</x:v>
      </x:c>
      <x:c r="C46" t="str">
        <x:v>索马里</x:v>
      </x:c>
      <x:c r="D46" t="str">
        <x:f>'Country_Summary'!C46</x:f>
        <x:v>Lagging</x:v>
      </x:c>
      <x:c r="E46" s="28" t="n">
        <x:f>'Country_Summary'!F46/SUM('Country_Summary'!$F$2:$F$55)</x:f>
        <x:v>0.0006016477782007048</x:v>
      </x:c>
      <x:c r="F46" s="28" t="n">
        <x:f>'Country_Summary'!N46/SUM('Country_Summary'!$N$2:$N$55)</x:f>
        <x:v>0.0010052496369931867</x:v>
      </x:c>
      <x:c r="G46" s="28" t="n">
        <x:f>('Country_Summary'!F46-'Country_Summary'!E46)/(SUM('Country_Summary'!$F$2:$F$55)-SUM('Country_Summary'!$E$2:$E$55))</x:f>
        <x:v>0.0009521794329242488</x:v>
      </x:c>
      <x:c r="H46" t="n">
        <x:f>1+COUNTIF('Country_Summary'!$N$2:$N$55,"&gt;"&amp;'Country_Summary'!N46)</x:f>
        <x:v>37</x:v>
      </x:c>
      <x:c r="I46" s="28" t="n">
        <x:f>F46*((54-H46)/53)</x:f>
        <x:v>0.0003224385628091353</x:v>
      </x:c>
      <x:c r="J46" s="28" t="n">
        <x:f>SQRT(('Country_Summary'!I46/100)*('Country_Summary'!AF46/100))</x:f>
        <x:v>0.26728299609215694</x:v>
      </x:c>
      <x:c r="K46" s="28" t="n">
        <x:f>SQRT(('Country_Summary'!K46/100)*('Country_Summary'!AF46/100))</x:f>
        <x:v>0.26157522818493345</x:v>
      </x:c>
      <x:c r="L46" s="28" t="n">
        <x:f>('Country_Summary'!AF46/100)*LN(1+'Country_Summary'!L46)</x:f>
        <x:v>0.6444378176519645</x:v>
      </x:c>
      <x:c r="M46" s="28" t="n">
        <x:f>('Country_Summary'!AF46-'Country_Summary'!AA46)/100</x:f>
        <x:v>-0.004199999999999946</x:v>
      </x:c>
      <x:c r="N46" s="28" t="n">
        <x:f>(LN(1+'Country_Summary'!F46)-LN(1+'Country_Summary'!D46))/9</x:f>
        <x:v>0.2558427881104495</x:v>
      </x:c>
      <x:c r="O46" s="28" t="n">
        <x:f>(LN(1+'Country_Summary'!F46)-LN(1+'Country_Summary'!E46))/4</x:f>
        <x:v>0.19413219737474907</x:v>
      </x:c>
      <x:c r="P46" s="28" t="n">
        <x:f>('Country_Summary'!I46-'Country_Summary'!H46)/100</x:f>
        <x:v>0.095</x:v>
      </x:c>
      <x:c r="Q46" s="28" t="n">
        <x:f>('Country_Summary'!K46-'Country_Summary'!J46)/100</x:f>
        <x:v>0.121</x:v>
      </x:c>
      <x:c r="R46" s="28" t="n">
        <x:f>-'Country_Summary'!AU46</x:f>
        <x:v>-0.01154166352412922</x:v>
      </x:c>
    </x:row>
    <x:row r="47">
      <x:c r="A47" t="str">
        <x:v>South Africa</x:v>
      </x:c>
      <x:c r="B47" t="str">
        <x:v>South Africa</x:v>
      </x:c>
      <x:c r="C47" t="str">
        <x:v>南非</x:v>
      </x:c>
      <x:c r="D47" t="str">
        <x:f>'Country_Summary'!C47</x:f>
        <x:v>Balancing</x:v>
      </x:c>
      <x:c r="E47" s="28" t="n">
        <x:f>'Country_Summary'!F47/SUM('Country_Summary'!$F$2:$F$55)</x:f>
        <x:v>0.20379897597092445</x:v>
      </x:c>
      <x:c r="F47" s="28" t="n">
        <x:f>'Country_Summary'!N47/SUM('Country_Summary'!$N$2:$N$55)</x:f>
        <x:v>0.2729587847648833</x:v>
      </x:c>
      <x:c r="G47" s="28" t="n">
        <x:f>('Country_Summary'!F47-'Country_Summary'!E47)/(SUM('Country_Summary'!$F$2:$F$55)-SUM('Country_Summary'!$E$2:$E$55))</x:f>
        <x:v>0.3131965016222316</x:v>
      </x:c>
      <x:c r="H47" t="n">
        <x:f>1+COUNTIF('Country_Summary'!$N$2:$N$55,"&gt;"&amp;'Country_Summary'!N47)</x:f>
        <x:v>1</x:v>
      </x:c>
      <x:c r="I47" s="28" t="n">
        <x:f>F47*((54-H47)/53)</x:f>
        <x:v>0.2729587847648833</x:v>
      </x:c>
      <x:c r="J47" s="28" t="n">
        <x:f>SQRT(('Country_Summary'!I47/100)*('Country_Summary'!AF47/100))</x:f>
        <x:v>0.45598256545618054</x:v>
      </x:c>
      <x:c r="K47" s="28" t="n">
        <x:f>SQRT(('Country_Summary'!K47/100)*('Country_Summary'!AF47/100))</x:f>
        <x:v>0.449198174528793</x:v>
      </x:c>
      <x:c r="L47" s="28" t="n">
        <x:f>('Country_Summary'!AF47/100)*LN(1+'Country_Summary'!L47)</x:f>
        <x:v>4.700160390127611</x:v>
      </x:c>
      <x:c r="M47" s="28" t="n">
        <x:f>('Country_Summary'!AF47-'Country_Summary'!AA47)/100</x:f>
        <x:v>0.03030000000000001</x:v>
      </x:c>
      <x:c r="N47" s="28" t="n">
        <x:f>(LN(1+'Country_Summary'!F47)-LN(1+'Country_Summary'!D47))/9</x:f>
        <x:v>0.14803263646619197</x:v>
      </x:c>
      <x:c r="O47" s="28" t="n">
        <x:f>(LN(1+'Country_Summary'!F47)-LN(1+'Country_Summary'!E47))/4</x:f>
        <x:v>0.19144679736716386</x:v>
      </x:c>
      <x:c r="P47" s="28" t="n">
        <x:f>('Country_Summary'!I47-'Country_Summary'!H47)/100</x:f>
        <x:v>0.15</x:v>
      </x:c>
      <x:c r="Q47" s="28" t="n">
        <x:f>('Country_Summary'!K47-'Country_Summary'!J47)/100</x:f>
        <x:v>0.209</x:v>
      </x:c>
      <x:c r="R47" s="28" t="n">
        <x:f>-'Country_Summary'!AU47</x:f>
        <x:v>-0.01450905420307862</x:v>
      </x:c>
    </x:row>
    <x:row r="48">
      <x:c r="A48" t="str">
        <x:v>South Sudan</x:v>
      </x:c>
      <x:c r="B48" t="str">
        <x:v>South Sudan</x:v>
      </x:c>
      <x:c r="C48" t="str">
        <x:v>南苏丹</x:v>
      </x:c>
      <x:c r="D48" t="str">
        <x:f>'Country_Summary'!C48</x:f>
        <x:v>Lagging</x:v>
      </x:c>
      <x:c r="E48" s="28" t="n">
        <x:f>'Country_Summary'!F48/SUM('Country_Summary'!$F$2:$F$55)</x:f>
        <x:v>0.0005525336738577901</x:v>
      </x:c>
      <x:c r="F48" s="28" t="n">
        <x:f>'Country_Summary'!N48/SUM('Country_Summary'!$N$2:$N$55)</x:f>
        <x:v>0.0009829107561711158</x:v>
      </x:c>
      <x:c r="G48" s="28" t="n">
        <x:f>('Country_Summary'!F48-'Country_Summary'!E48)/(SUM('Country_Summary'!$F$2:$F$55)-SUM('Country_Summary'!$E$2:$E$55))</x:f>
        <x:v>0.0014459021018479335</x:v>
      </x:c>
      <x:c r="H48" t="n">
        <x:f>1+COUNTIF('Country_Summary'!$N$2:$N$55,"&gt;"&amp;'Country_Summary'!N48)</x:f>
        <x:v>38</x:v>
      </x:c>
      <x:c r="I48" s="28" t="n">
        <x:f>F48*((54-H48)/53)</x:f>
        <x:v>0.000296727775447884</x:v>
      </x:c>
      <x:c r="J48" s="28" t="n">
        <x:f>SQRT(('Country_Summary'!I48/100)*('Country_Summary'!AF48/100))</x:f>
        <x:v>0.10021975853094041</x:v>
      </x:c>
      <x:c r="K48" s="28" t="n">
        <x:f>SQRT(('Country_Summary'!K48/100)*('Country_Summary'!AF48/100))</x:f>
        <x:v>0.05596427431853289</x:v>
      </x:c>
      <x:c r="L48" s="28" t="n">
        <x:f>('Country_Summary'!AF48/100)*LN(1+'Country_Summary'!L48)</x:f>
        <x:v>0.07064997226110967</x:v>
      </x:c>
      <x:c r="M48" s="28" t="n">
        <x:f>('Country_Summary'!AF48-'Country_Summary'!AA48)/100</x:f>
        <x:v>-0.008899999999999996</x:v>
      </x:c>
      <x:c r="N48" s="28" t="n">
        <x:f>(LN(1+'Country_Summary'!F48)-LN(1+'Country_Summary'!D48))/9</x:f>
        <x:v>0.34838824621434994</x:v>
      </x:c>
      <x:c r="O48" s="28" t="n">
        <x:f>(LN(1+'Country_Summary'!F48)-LN(1+'Country_Summary'!E48))/4</x:f>
        <x:v>0.5548008710137486</x:v>
      </x:c>
      <x:c r="P48" s="28" t="n">
        <x:f>('Country_Summary'!I48-'Country_Summary'!H48)/100</x:f>
        <x:v>0.171</x:v>
      </x:c>
      <x:c r="Q48" s="28" t="n">
        <x:f>('Country_Summary'!K48-'Country_Summary'!J48)/100</x:f>
        <x:v>0.05399999999999999</x:v>
      </x:c>
      <x:c r="R48" s="28" t="n">
        <x:f>-'Country_Summary'!AU48</x:f>
        <x:v>-0.07988089669929473</x:v>
      </x:c>
    </x:row>
    <x:row r="49">
      <x:c r="A49" t="str">
        <x:v>Sudan</x:v>
      </x:c>
      <x:c r="B49" t="str">
        <x:v>Sudan</x:v>
      </x:c>
      <x:c r="C49" t="str">
        <x:v>苏丹</x:v>
      </x:c>
      <x:c r="D49" t="str">
        <x:f>'Country_Summary'!C49</x:f>
        <x:v>Lagging</x:v>
      </x:c>
      <x:c r="E49" s="28" t="n">
        <x:f>'Country_Summary'!F49/SUM('Country_Summary'!$F$2:$F$55)</x:f>
        <x:v>0.02297312230639834</x:v>
      </x:c>
      <x:c r="F49" s="28" t="n">
        <x:f>'Country_Summary'!N49/SUM('Country_Summary'!$N$2:$N$55)</x:f>
        <x:v>0.007237797386350944</x:v>
      </x:c>
      <x:c r="G49" s="28" t="n">
        <x:f>('Country_Summary'!F49-'Country_Summary'!E49)/(SUM('Country_Summary'!$F$2:$F$55)-SUM('Country_Summary'!$E$2:$E$55))</x:f>
        <x:v>0.0019043588658484976</x:v>
      </x:c>
      <x:c r="H49" t="n">
        <x:f>1+COUNTIF('Country_Summary'!$N$2:$N$55,"&gt;"&amp;'Country_Summary'!N49)</x:f>
        <x:v>19</x:v>
      </x:c>
      <x:c r="I49" s="28" t="n">
        <x:f>F49*((54-H49)/53)</x:f>
        <x:v>0.004779677519288359</x:v>
      </x:c>
      <x:c r="J49" s="28" t="n">
        <x:f>SQRT(('Country_Summary'!I49/100)*('Country_Summary'!AF49/100))</x:f>
        <x:v>0.5697557371365383</x:v>
      </x:c>
      <x:c r="K49" s="28" t="n">
        <x:f>SQRT(('Country_Summary'!K49/100)*('Country_Summary'!AF49/100))</x:f>
        <x:v>0.6344115383566097</x:v>
      </x:c>
      <x:c r="L49" s="28" t="n">
        <x:f>('Country_Summary'!AF49/100)*LN(1+'Country_Summary'!L49)</x:f>
        <x:v>2.401813383351126</x:v>
      </x:c>
      <x:c r="M49" s="28" t="n">
        <x:f>('Country_Summary'!AF49-'Country_Summary'!AA49)/100</x:f>
        <x:v>0.10640000000000001</x:v>
      </x:c>
      <x:c r="N49" s="28" t="n">
        <x:f>(LN(1+'Country_Summary'!F49)-LN(1+'Country_Summary'!D49))/9</x:f>
        <x:v>0.021115955876429362</x:v>
      </x:c>
      <x:c r="O49" s="28" t="n">
        <x:f>(LN(1+'Country_Summary'!F49)-LN(1+'Country_Summary'!E49))/4</x:f>
        <x:v>0.007317595575028202</x:v>
      </x:c>
      <x:c r="P49" s="28" t="n">
        <x:f>('Country_Summary'!I49-'Country_Summary'!H49)/100</x:f>
        <x:v>0.031000000000000014</x:v>
      </x:c>
      <x:c r="Q49" s="28" t="n">
        <x:f>('Country_Summary'!K49-'Country_Summary'!J49)/100</x:f>
        <x:v>0.04799999999999997</x:v>
      </x:c>
      <x:c r="R49" s="28" t="n">
        <x:f>-'Country_Summary'!AU49</x:f>
        <x:v>-0.00031015772563822706</x:v>
      </x:c>
    </x:row>
    <x:row r="50">
      <x:c r="A50" t="str">
        <x:v>Tanzania</x:v>
      </x:c>
      <x:c r="B50" t="str">
        <x:v>United Republic of Tanzania</x:v>
      </x:c>
      <x:c r="C50" t="str">
        <x:v>坦桑尼亚</x:v>
      </x:c>
      <x:c r="D50" t="str">
        <x:f>'Country_Summary'!C50</x:f>
        <x:v>Balancing</x:v>
      </x:c>
      <x:c r="E50" s="28" t="n">
        <x:f>'Country_Summary'!F50/SUM('Country_Summary'!$F$2:$F$55)</x:f>
        <x:v>0.03536215512689857</x:v>
      </x:c>
      <x:c r="F50" s="28" t="n">
        <x:f>'Country_Summary'!N50/SUM('Country_Summary'!$N$2:$N$55)</x:f>
        <x:v>0.04950295990170892</x:v>
      </x:c>
      <x:c r="G50" s="28" t="n">
        <x:f>('Country_Summary'!F50-'Country_Summary'!E50)/(SUM('Country_Summary'!$F$2:$F$55)-SUM('Country_Summary'!$E$2:$E$55))</x:f>
        <x:v>0.07765552264071096</x:v>
      </x:c>
      <x:c r="H50" t="n">
        <x:f>1+COUNTIF('Country_Summary'!$N$2:$N$55,"&gt;"&amp;'Country_Summary'!N50)</x:f>
        <x:v>6</x:v>
      </x:c>
      <x:c r="I50" s="28" t="n">
        <x:f>F50*((54-H50)/53)</x:f>
        <x:v>0.04483286934494393</x:v>
      </x:c>
      <x:c r="J50" s="28" t="n">
        <x:f>SQRT(('Country_Summary'!I50/100)*('Country_Summary'!AF50/100))</x:f>
        <x:v>0.5781314729367361</x:v>
      </x:c>
      <x:c r="K50" s="28" t="n">
        <x:f>SQRT(('Country_Summary'!K50/100)*('Country_Summary'!AF50/100))</x:f>
        <x:v>0.3819240762245816</x:v>
      </x:c>
      <x:c r="L50" s="28" t="n">
        <x:f>('Country_Summary'!AF50/100)*LN(1+'Country_Summary'!L50)</x:f>
        <x:v>1.50596980473239</x:v>
      </x:c>
      <x:c r="M50" s="28" t="n">
        <x:f>('Country_Summary'!AF50-'Country_Summary'!AA50)/100</x:f>
        <x:v>0.13369999999999999</x:v>
      </x:c>
      <x:c r="N50" s="28" t="n">
        <x:f>(LN(1+'Country_Summary'!F50)-LN(1+'Country_Summary'!D50))/9</x:f>
        <x:v>0.16290063271429714</x:v>
      </x:c>
      <x:c r="O50" s="28" t="n">
        <x:f>(LN(1+'Country_Summary'!F50)-LN(1+'Country_Summary'!E50))/4</x:f>
        <x:v>0.36131790188145807</x:v>
      </x:c>
      <x:c r="P50" s="28" t="n">
        <x:f>('Country_Summary'!I50-'Country_Summary'!H50)/100</x:f>
        <x:v>0.245</x:v>
      </x:c>
      <x:c r="Q50" s="28" t="n">
        <x:f>('Country_Summary'!K50-'Country_Summary'!J50)/100</x:f>
        <x:v>-0.06000000000000003</x:v>
      </x:c>
      <x:c r="R50" s="28" t="n">
        <x:f>-'Country_Summary'!AU50</x:f>
        <x:v>-0.0469080916706579</x:v>
      </x:c>
    </x:row>
    <x:row r="51">
      <x:c r="A51" t="str">
        <x:v>Togo</x:v>
      </x:c>
      <x:c r="B51" t="str">
        <x:v>Togo</x:v>
      </x:c>
      <x:c r="C51" t="str">
        <x:v>多哥</x:v>
      </x:c>
      <x:c r="D51" t="str">
        <x:f>'Country_Summary'!C51</x:f>
        <x:v>Lagging</x:v>
      </x:c>
      <x:c r="E51" s="28" t="n">
        <x:f>'Country_Summary'!F51/SUM('Country_Summary'!$F$2:$F$55)</x:f>
        <x:v>0.0018786144911164865</x:v>
      </x:c>
      <x:c r="F51" s="28" t="n">
        <x:f>'Country_Summary'!N51/SUM('Country_Summary'!$N$2:$N$55)</x:f>
        <x:v>0.00192114375069809</x:v>
      </x:c>
      <x:c r="G51" s="28" t="n">
        <x:f>('Country_Summary'!F51-'Country_Summary'!E51)/(SUM('Country_Summary'!$F$2:$F$55)-SUM('Country_Summary'!$E$2:$E$55))</x:f>
        <x:v>0.0008111158132317676</x:v>
      </x:c>
      <x:c r="H51" t="n">
        <x:f>1+COUNTIF('Country_Summary'!$N$2:$N$55,"&gt;"&amp;'Country_Summary'!N51)</x:f>
        <x:v>33</x:v>
      </x:c>
      <x:c r="I51" s="28" t="n">
        <x:f>F51*((54-H51)/53)</x:f>
        <x:v>0.000761207901219998</x:v>
      </x:c>
      <x:c r="J51" s="28" t="n">
        <x:f>SQRT(('Country_Summary'!I51/100)*('Country_Summary'!AF51/100))</x:f>
        <x:v>0.5045393939029935</x:v>
      </x:c>
      <x:c r="K51" s="28" t="n">
        <x:f>SQRT(('Country_Summary'!K51/100)*('Country_Summary'!AF51/100))</x:f>
        <x:v>0.3953327712193868</x:v>
      </x:c>
      <x:c r="L51" s="28" t="n">
        <x:f>('Country_Summary'!AF51/100)*LN(1+'Country_Summary'!L51)</x:f>
        <x:v>1.6031657190525086</x:v>
      </x:c>
      <x:c r="M51" s="28" t="n">
        <x:f>('Country_Summary'!AF51-'Country_Summary'!AA51)/100</x:f>
        <x:v>0.09200000000000003</x:v>
      </x:c>
      <x:c r="N51" s="28" t="n">
        <x:f>(LN(1+'Country_Summary'!F51)-LN(1+'Country_Summary'!D51))/9</x:f>
        <x:v>0.09082721080416917</x:v>
      </x:c>
      <x:c r="O51" s="28" t="n">
        <x:f>(LN(1+'Country_Summary'!F51)-LN(1+'Country_Summary'!E51))/4</x:f>
        <x:v>0.040438819803119586</x:v>
      </x:c>
      <x:c r="P51" s="28" t="n">
        <x:f>('Country_Summary'!I51-'Country_Summary'!H51)/100</x:f>
        <x:v>0.15100000000000002</x:v>
      </x:c>
      <x:c r="Q51" s="28" t="n">
        <x:f>('Country_Summary'!K51-'Country_Summary'!J51)/100</x:f>
        <x:v>0.027999999999999973</x:v>
      </x:c>
      <x:c r="R51" s="28" t="n">
        <x:f>-'Country_Summary'!AU51</x:f>
        <x:v>-0.04798582610457558</x:v>
      </x:c>
    </x:row>
    <x:row r="52">
      <x:c r="A52" t="str">
        <x:v>Tunisia</x:v>
      </x:c>
      <x:c r="B52" t="str">
        <x:v>Tunisia</x:v>
      </x:c>
      <x:c r="C52" t="str">
        <x:v>突尼斯</x:v>
      </x:c>
      <x:c r="D52" t="str">
        <x:f>'Country_Summary'!C52</x:f>
        <x:v>Balancing</x:v>
      </x:c>
      <x:c r="E52" s="28" t="n">
        <x:f>'Country_Summary'!F52/SUM('Country_Summary'!$F$2:$F$55)</x:f>
        <x:v>0.014807902459388775</x:v>
      </x:c>
      <x:c r="F52" s="28" t="n">
        <x:f>'Country_Summary'!N52/SUM('Country_Summary'!$N$2:$N$55)</x:f>
        <x:v>0.019345470791913327</x:v>
      </x:c>
      <x:c r="G52" s="28" t="n">
        <x:f>('Country_Summary'!F52-'Country_Summary'!E52)/(SUM('Country_Summary'!$F$2:$F$55)-SUM('Country_Summary'!$E$2:$E$55))</x:f>
        <x:v>0.02814219212865002</x:v>
      </x:c>
      <x:c r="H52" t="n">
        <x:f>1+COUNTIF('Country_Summary'!$N$2:$N$55,"&gt;"&amp;'Country_Summary'!N52)</x:f>
        <x:v>11</x:v>
      </x:c>
      <x:c r="I52" s="28" t="n">
        <x:f>F52*((54-H52)/53)</x:f>
        <x:v>0.015695381963250436</x:v>
      </x:c>
      <x:c r="J52" s="28" t="n">
        <x:f>SQRT(('Country_Summary'!I52/100)*('Country_Summary'!AF52/100))</x:f>
        <x:v>0.4074309757492673</x:v>
      </x:c>
      <x:c r="K52" s="28" t="n">
        <x:f>SQRT(('Country_Summary'!K52/100)*('Country_Summary'!AF52/100))</x:f>
        <x:v>0.21447610589527216</x:v>
      </x:c>
      <x:c r="L52" s="28" t="n">
        <x:f>('Country_Summary'!AF52/100)*LN(1+'Country_Summary'!L52)</x:f>
        <x:v>4.4942386252808095</x:v>
      </x:c>
      <x:c r="M52" s="28" t="n">
        <x:f>('Country_Summary'!AF52-'Country_Summary'!AA52)/100</x:f>
        <x:v>0.0020000000000000282</x:v>
      </x:c>
      <x:c r="N52" s="28" t="n">
        <x:f>(LN(1+'Country_Summary'!F52)-LN(1+'Country_Summary'!D52))/9</x:f>
        <x:v>0.1404456382015572</x:v>
      </x:c>
      <x:c r="O52" s="28" t="n">
        <x:f>(LN(1+'Country_Summary'!F52)-LN(1+'Country_Summary'!E52))/4</x:f>
        <x:v>0.27054451626368237</x:v>
      </x:c>
      <x:c r="P52" s="28" t="n">
        <x:f>('Country_Summary'!I52-'Country_Summary'!H52)/100</x:f>
        <x:v>0.10100000000000002</x:v>
      </x:c>
      <x:c r="Q52" s="28" t="n">
        <x:f>('Country_Summary'!K52-'Country_Summary'!J52)/100</x:f>
        <x:v>0.015999999999999997</x:v>
      </x:c>
      <x:c r="R52" s="28" t="n">
        <x:f>-'Country_Summary'!AU52</x:f>
        <x:v>-0.048091748596548814</x:v>
      </x:c>
    </x:row>
    <x:row r="53">
      <x:c r="A53" t="str">
        <x:v>Uganda</x:v>
      </x:c>
      <x:c r="B53" t="str">
        <x:v>Uganda</x:v>
      </x:c>
      <x:c r="C53" t="str">
        <x:v>乌干达</x:v>
      </x:c>
      <x:c r="D53" t="str">
        <x:f>'Country_Summary'!C53</x:f>
        <x:v>Balancing</x:v>
      </x:c>
      <x:c r="E53" s="28" t="n">
        <x:f>'Country_Summary'!F53/SUM('Country_Summary'!$F$2:$F$55)</x:f>
        <x:v>0.023648441241113417</x:v>
      </x:c>
      <x:c r="F53" s="28" t="n">
        <x:f>'Country_Summary'!N53/SUM('Country_Summary'!$N$2:$N$55)</x:f>
        <x:v>0.025712051826203508</x:v>
      </x:c>
      <x:c r="G53" s="28" t="n">
        <x:f>('Country_Summary'!F53-'Country_Summary'!E53)/(SUM('Country_Summary'!$F$2:$F$55)-SUM('Country_Summary'!$E$2:$E$55))</x:f>
        <x:v>0.023416560868951896</x:v>
      </x:c>
      <x:c r="H53" t="n">
        <x:f>1+COUNTIF('Country_Summary'!$N$2:$N$55,"&gt;"&amp;'Country_Summary'!N53)</x:f>
        <x:v>8</x:v>
      </x:c>
      <x:c r="I53" s="28" t="n">
        <x:f>F53*((54-H53)/53)</x:f>
        <x:v>0.022316120452931347</x:v>
      </x:c>
      <x:c r="J53" s="28" t="n">
        <x:f>SQRT(('Country_Summary'!I53/100)*('Country_Summary'!AF53/100))</x:f>
        <x:v>0.6996677783062473</x:v>
      </x:c>
      <x:c r="K53" s="28" t="n">
        <x:f>SQRT(('Country_Summary'!K53/100)*('Country_Summary'!AF53/100))</x:f>
        <x:v>0.7124398220200776</x:v>
      </x:c>
      <x:c r="L53" s="28" t="n">
        <x:f>('Country_Summary'!AF53/100)*LN(1+'Country_Summary'!L53)</x:f>
        <x:v>1.8648672612226262</x:v>
      </x:c>
      <x:c r="M53" s="28" t="n">
        <x:f>('Country_Summary'!AF53-'Country_Summary'!AA53)/100</x:f>
        <x:v>0.09609999999999999</x:v>
      </x:c>
      <x:c r="N53" s="28" t="n">
        <x:f>(LN(1+'Country_Summary'!F53)-LN(1+'Country_Summary'!D53))/9</x:f>
        <x:v>0.10106301647012748</x:v>
      </x:c>
      <x:c r="O53" s="28" t="n">
        <x:f>(LN(1+'Country_Summary'!F53)-LN(1+'Country_Summary'!E53))/4</x:f>
        <x:v>0.10561863651596881</x:v>
      </x:c>
      <x:c r="P53" s="28" t="n">
        <x:f>('Country_Summary'!I53-'Country_Summary'!H53)/100</x:f>
        <x:v>0.09900000000000006</x:v>
      </x:c>
      <x:c r="Q53" s="28" t="n">
        <x:f>('Country_Summary'!K53-'Country_Summary'!J53)/100</x:f>
        <x:v>0.0029999999999999714</x:v>
      </x:c>
      <x:c r="R53" s="28" t="n">
        <x:f>-'Country_Summary'!AU53</x:f>
        <x:v>0.0031104826014969333</x:v>
      </x:c>
    </x:row>
    <x:row r="54">
      <x:c r="A54" t="str">
        <x:v>Zambia</x:v>
      </x:c>
      <x:c r="B54" t="str">
        <x:v>Zambia</x:v>
      </x:c>
      <x:c r="C54" t="str">
        <x:v>赞比亚</x:v>
      </x:c>
      <x:c r="D54" t="str">
        <x:f>'Country_Summary'!C54</x:f>
        <x:v>Balancing</x:v>
      </x:c>
      <x:c r="E54" s="28" t="n">
        <x:f>'Country_Summary'!F54/SUM('Country_Summary'!$F$2:$F$55)</x:f>
        <x:v>0.043478260869565216</x:v>
      </x:c>
      <x:c r="F54" s="28" t="n">
        <x:f>'Country_Summary'!N54/SUM('Country_Summary'!$N$2:$N$55)</x:f>
        <x:v>0.024773818831676533</x:v>
      </x:c>
      <x:c r="G54" s="28" t="n">
        <x:f>('Country_Summary'!F54-'Country_Summary'!E54)/(SUM('Country_Summary'!$F$2:$F$55)-SUM('Country_Summary'!$E$2:$E$55))</x:f>
        <x:v>0.02461560163633799</x:v>
      </x:c>
      <x:c r="H54" t="n">
        <x:f>1+COUNTIF('Country_Summary'!$N$2:$N$55,"&gt;"&amp;'Country_Summary'!N54)</x:f>
        <x:v>9</x:v>
      </x:c>
      <x:c r="I54" s="28" t="n">
        <x:f>F54*((54-H54)/53)</x:f>
        <x:v>0.021034374479725358</x:v>
      </x:c>
      <x:c r="J54" s="28" t="n">
        <x:f>SQRT(('Country_Summary'!I54/100)*('Country_Summary'!AF54/100))</x:f>
        <x:v>0.6589878602827217</x:v>
      </x:c>
      <x:c r="K54" s="28" t="n">
        <x:f>SQRT(('Country_Summary'!K54/100)*('Country_Summary'!AF54/100))</x:f>
        <x:v>0.6460691139498932</x:v>
      </x:c>
      <x:c r="L54" s="28" t="n">
        <x:f>('Country_Summary'!AF54/100)*LN(1+'Country_Summary'!L54)</x:f>
        <x:v>2.595136614444637</x:v>
      </x:c>
      <x:c r="M54" s="28" t="n">
        <x:f>('Country_Summary'!AF54-'Country_Summary'!AA54)/100</x:f>
        <x:v>0.10860000000000007</x:v>
      </x:c>
      <x:c r="N54" s="28" t="n">
        <x:f>(LN(1+'Country_Summary'!F54)-LN(1+'Country_Summary'!D54))/9</x:f>
        <x:v>0.04172960839547299</x:v>
      </x:c>
      <x:c r="O54" s="28" t="n">
        <x:f>(LN(1+'Country_Summary'!F54)-LN(1+'Country_Summary'!E54))/4</x:f>
        <x:v>0.054870006854911946</x:v>
      </x:c>
      <x:c r="P54" s="28" t="n">
        <x:f>('Country_Summary'!I54-'Country_Summary'!H54)/100</x:f>
        <x:v>0.012000000000000028</x:v>
      </x:c>
      <x:c r="Q54" s="28" t="n">
        <x:f>('Country_Summary'!K54-'Country_Summary'!J54)/100</x:f>
        <x:v>-0.12599999999999995</x:v>
      </x:c>
      <x:c r="R54" s="28" t="n">
        <x:f>-'Country_Summary'!AU54</x:f>
        <x:v>-0.0004569689726015014</x:v>
      </x:c>
    </x:row>
    <x:row r="55">
      <x:c r="A55" t="str">
        <x:v>Zimbabwe</x:v>
      </x:c>
      <x:c r="B55" t="str">
        <x:v>Zimbabwe</x:v>
      </x:c>
      <x:c r="C55" t="str">
        <x:v>津巴布韦</x:v>
      </x:c>
      <x:c r="D55" t="str">
        <x:f>'Country_Summary'!C55</x:f>
        <x:v>Lagging</x:v>
      </x:c>
      <x:c r="E55" s="28" t="n">
        <x:f>'Country_Summary'!F55/SUM('Country_Summary'!$F$2:$F$55)</x:f>
        <x:v>0.01577790602016134</x:v>
      </x:c>
      <x:c r="F55" s="28" t="n">
        <x:f>'Country_Summary'!N55/SUM('Country_Summary'!$N$2:$N$55)</x:f>
        <x:v>0.009091924494582822</x:v>
      </x:c>
      <x:c r="G55" s="28" t="n">
        <x:f>('Country_Summary'!F55-'Country_Summary'!E55)/(SUM('Country_Summary'!$F$2:$F$55)-SUM('Country_Summary'!$E$2:$E$55))</x:f>
        <x:v>0.0027507405840033854</x:v>
      </x:c>
      <x:c r="H55" t="n">
        <x:f>1+COUNTIF('Country_Summary'!$N$2:$N$55,"&gt;"&amp;'Country_Summary'!N55)</x:f>
        <x:v>17</x:v>
      </x:c>
      <x:c r="I55" s="28" t="n">
        <x:f>F55*((54-H55)/53)</x:f>
        <x:v>0.006347192571689894</x:v>
      </x:c>
      <x:c r="J55" s="28" t="n">
        <x:f>SQRT(('Country_Summary'!I55/100)*('Country_Summary'!AF55/100))</x:f>
        <x:v>0.5041825066382212</x:v>
      </x:c>
      <x:c r="K55" s="28" t="n">
        <x:f>SQRT(('Country_Summary'!K55/100)*('Country_Summary'!AF55/100))</x:f>
        <x:v>0.5929080873120217</x:v>
      </x:c>
      <x:c r="L55" s="28" t="n">
        <x:f>('Country_Summary'!AF55/100)*LN(1+'Country_Summary'!L55)</x:f>
        <x:v>2.7035395138579896</x:v>
      </x:c>
      <x:c r="M55" s="28" t="n">
        <x:f>('Country_Summary'!AF55-'Country_Summary'!AA55)/100</x:f>
        <x:v>0.166</x:v>
      </x:c>
      <x:c r="N55" s="28" t="n">
        <x:f>(LN(1+'Country_Summary'!F55)-LN(1+'Country_Summary'!D55))/9</x:f>
        <x:v>0.04227855634582086</x:v>
      </x:c>
      <x:c r="O55" s="28" t="n">
        <x:f>(LN(1+'Country_Summary'!F55)-LN(1+'Country_Summary'!E55))/4</x:f>
        <x:v>0.015642631575701005</x:v>
      </x:c>
      <x:c r="P55" s="28" t="n">
        <x:f>('Country_Summary'!I55-'Country_Summary'!H55)/100</x:f>
        <x:v>-0.012999999999999972</x:v>
      </x:c>
      <x:c r="Q55" s="28" t="n">
        <x:f>('Country_Summary'!K55-'Country_Summary'!J55)/100</x:f>
        <x:v>-0.05899999999999998</x:v>
      </x:c>
      <x:c r="R55" s="28" t="n">
        <x:f>-'Country_Summary'!AU55</x:f>
        <x:v>-0.08647046202386584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55" hidden="0" customWidth="1"/>
    <x:col min="4" max="4" width="55" hidden="0" customWidth="1"/>
    <x:col min="5" max="5" width="24" hidden="0" customWidth="1"/>
  </x:cols>
  <x:sheetData>
    <x:row r="1">
      <x:c r="A1" s="50" t="str">
        <x:v>Dimension</x:v>
      </x:c>
      <x:c r="B1" s="50" t="str">
        <x:v>Variable</x:v>
      </x:c>
      <x:c r="C1" s="50" t="str">
        <x:v>Definition / Formula</x:v>
      </x:c>
      <x:c r="D1" s="50" t="str">
        <x:v>Interpretation</x:v>
      </x:c>
      <x:c r="E1" s="50" t="str">
        <x:v>Source</x:v>
      </x:c>
    </x:row>
    <x:row r="2">
      <x:c r="A2" s="12" t="str">
        <x:v>Strategic Positioning / Regional Leadership</x:v>
      </x:c>
      <x:c r="B2" s="12" t="str">
        <x:v>L1</x:v>
      </x:c>
      <x:c r="C2" s="12" t="str">
        <x:v>RE capacity 2025 / 54-country RE capacity total 2025</x:v>
      </x:c>
      <x:c r="D2" s="12" t="str">
        <x:v>Current regional installed-capacity scale; no log compression</x:v>
      </x:c>
      <x:c r="E2" s="12" t="str">
        <x:v>IRENA 2026</x:v>
      </x:c>
    </x:row>
    <x:row r="3">
      <x:c r="A3" s="12" t="str">
        <x:v>Strategic Positioning / Regional Leadership</x:v>
      </x:c>
      <x:c r="B3" s="12" t="str">
        <x:v>L2</x:v>
      </x:c>
      <x:c r="C3" s="12" t="str">
        <x:v>2016-2025 RE capacity increase / 54-country total increase</x:v>
      </x:c>
      <x:c r="D3" s="12" t="str">
        <x:v>Long-run regional incremental contribution</x:v>
      </x:c>
      <x:c r="E3" s="12" t="str">
        <x:v>IRENA 2026</x:v>
      </x:c>
    </x:row>
    <x:row r="4">
      <x:c r="A4" s="12" t="str">
        <x:v>Strategic Positioning / Regional Leadership</x:v>
      </x:c>
      <x:c r="B4" s="12" t="str">
        <x:v>L3</x:v>
      </x:c>
      <x:c r="C4" s="12" t="str">
        <x:v>2021-2025 RE capacity increase / 54-country total increase</x:v>
      </x:c>
      <x:c r="D4" s="12" t="str">
        <x:v>Recent regional incremental contribution; reduces legacy-stock bias</x:v>
      </x:c>
      <x:c r="E4" s="12" t="str">
        <x:v>IRENA 2026</x:v>
      </x:c>
    </x:row>
    <x:row r="5">
      <x:c r="A5" s="12" t="str">
        <x:v>Strategic Positioning / Regional Leadership</x:v>
      </x:c>
      <x:c r="B5" s="12" t="str">
        <x:v>L4</x:v>
      </x:c>
      <x:c r="C5" s="12" t="str">
        <x:v>L2 × (N-rank)/(N-1)</x:v>
      </x:c>
      <x:c r="D5" s="12" t="str">
        <x:v>Continuous rank-induced leadership modifier; avoids arbitrary top-5%/10% thresholds</x:v>
      </x:c>
      <x:c r="E5" s="12" t="str">
        <x:v>IRENA 2026</x:v>
      </x:c>
    </x:row>
    <x:row r="6">
      <x:c r="A6" s="12" t="str">
        <x:v>Transition Outcome / System Depth</x:v>
      </x:c>
      <x:c r="B6" s="12" t="str">
        <x:v>D1</x:v>
      </x:c>
      <x:c r="C6" s="12" t="str">
        <x:v>sqrt(RE capacity share 2025 × electricity access 2023)</x:v>
      </x:c>
      <x:c r="D6" s="12" t="str">
        <x:v>Effective system penetration corrected for energy poverty</x:v>
      </x:c>
      <x:c r="E6" s="12" t="str">
        <x:v>IRENA + power database</x:v>
      </x:c>
    </x:row>
    <x:row r="7">
      <x:c r="A7" s="12" t="str">
        <x:v>Transition Outcome / System Depth</x:v>
      </x:c>
      <x:c r="B7" s="12" t="str">
        <x:v>D2</x:v>
      </x:c>
      <x:c r="C7" s="12" t="str">
        <x:v>sqrt(RE production share 2024 × electricity access 2023)</x:v>
      </x:c>
      <x:c r="D7" s="12" t="str">
        <x:v>Effective green generation penetration corrected for access</x:v>
      </x:c>
      <x:c r="E7" s="12" t="str">
        <x:v>IRENA + power database</x:v>
      </x:c>
    </x:row>
    <x:row r="8">
      <x:c r="A8" s="12" t="str">
        <x:v>Transition Outcome / System Depth</x:v>
      </x:c>
      <x:c r="B8" s="12" t="str">
        <x:v>D3</x:v>
      </x:c>
      <x:c r="C8" s="12" t="str">
        <x:v>electricity access 2023 × ln(1 + renewable W/capita 2024)</x:v>
      </x:c>
      <x:c r="D8" s="12" t="str">
        <x:v>Access-adjusted renewable provision per person</x:v>
      </x:c>
      <x:c r="E8" s="12" t="str">
        <x:v>IRENA + power database</x:v>
      </x:c>
    </x:row>
    <x:row r="9">
      <x:c r="A9" s="12" t="str">
        <x:v>Transition Outcome / System Depth</x:v>
      </x:c>
      <x:c r="B9" s="12" t="str">
        <x:v>D4</x:v>
      </x:c>
      <x:c r="C9" s="12" t="str">
        <x:v>electricity access 2023 - electricity access 2018</x:v>
      </x:c>
      <x:c r="D9" s="12" t="str">
        <x:v>Improvement in electricity access</x:v>
      </x:c>
      <x:c r="E9" s="12" t="str">
        <x:v>Power database</x:v>
      </x:c>
    </x:row>
    <x:row r="10">
      <x:c r="A10" s="12" t="str">
        <x:v>Action Path / Transition Momentum</x:v>
      </x:c>
      <x:c r="B10" s="12" t="str">
        <x:v>M1</x:v>
      </x:c>
      <x:c r="C10" s="12" t="str">
        <x:v>[ln(1+C2025)-ln(1+C2016)]/9</x:v>
      </x:c>
      <x:c r="D10" s="12" t="str">
        <x:v>Long-run renewable expansion momentum; reduces small-base distortion</x:v>
      </x:c>
      <x:c r="E10" s="12" t="str">
        <x:v>IRENA 2026</x:v>
      </x:c>
    </x:row>
    <x:row r="11">
      <x:c r="A11" s="12" t="str">
        <x:v>Action Path / Transition Momentum</x:v>
      </x:c>
      <x:c r="B11" s="12" t="str">
        <x:v>M2</x:v>
      </x:c>
      <x:c r="C11" s="12" t="str">
        <x:v>[ln(1+C2025)-ln(1+C2021)]/4</x:v>
      </x:c>
      <x:c r="D11" s="12" t="str">
        <x:v>Recent renewable expansion momentum</x:v>
      </x:c>
      <x:c r="E11" s="12" t="str">
        <x:v>IRENA 2026</x:v>
      </x:c>
    </x:row>
    <x:row r="12">
      <x:c r="A12" s="12" t="str">
        <x:v>Action Path / Transition Momentum</x:v>
      </x:c>
      <x:c r="B12" s="12" t="str">
        <x:v>M3</x:v>
      </x:c>
      <x:c r="C12" s="12" t="str">
        <x:v>RE capacity share 2025 - RE capacity share 2016</x:v>
      </x:c>
      <x:c r="D12" s="12" t="str">
        <x:v>Structural improvement in installed-capacity mix</x:v>
      </x:c>
      <x:c r="E12" s="12" t="str">
        <x:v>IRENA 2026</x:v>
      </x:c>
    </x:row>
    <x:row r="13">
      <x:c r="A13" s="12" t="str">
        <x:v>Action Path / Transition Momentum</x:v>
      </x:c>
      <x:c r="B13" s="12" t="str">
        <x:v>M4</x:v>
      </x:c>
      <x:c r="C13" s="12" t="str">
        <x:v>RE production share 2024 - RE production share 2016</x:v>
      </x:c>
      <x:c r="D13" s="12" t="str">
        <x:v>Structural improvement in actual generation mix</x:v>
      </x:c>
      <x:c r="E13" s="12" t="str">
        <x:v>IRENA 2026</x:v>
      </x:c>
    </x:row>
    <x:row r="14">
      <x:c r="A14" s="12" t="str">
        <x:v>Action Path / Transition Momentum</x:v>
      </x:c>
      <x:c r="B14" s="12" t="str">
        <x:v>M5</x:v>
      </x:c>
      <x:c r="C14" s="12" t="str">
        <x:v>-[ln(1+NRcap2023)-ln(1+NRcap2018)]/5</x:v>
      </x:c>
      <x:c r="D14" s="12" t="str">
        <x:v>Penalizes continuing expansion of non-renewable capacity; helps identify dual-track paths</x:v>
      </x:c>
      <x:c r="E14" s="12" t="str">
        <x:v>Power database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53" t="str">
        <x:v>Item</x:v>
      </x:c>
      <x:c r="B1" s="53" t="str">
        <x:v>Note</x:v>
      </x:c>
    </x:row>
    <x:row r="2">
      <x:c r="A2" s="12" t="str">
        <x:v>Country matching</x:v>
      </x:c>
      <x:c r="B2" s="12" t="str">
        <x:v>Matched on the actual Chinese country names in the '电力数据' sheet. The uploaded workbook's '国家对照表' is NOT used because its English-Chinese mapping becomes visibly misaligned around the Congo/Eswatini rows.</x:v>
      </x:c>
    </x:row>
    <x:row r="3">
      <x:c r="A3" s="12" t="str">
        <x:v>Country coverage</x:v>
      </x:c>
      <x:c r="B3" s="12" t="str">
        <x:v>54/54 Table-2 countries are present in the power database.</x:v>
      </x:c>
    </x:row>
    <x:row r="4">
      <x:c r="A4" s="12" t="str">
        <x:v>Poverty-data completeness</x:v>
      </x:c>
      <x:c r="B4" s="12" t="str">
        <x:v>National/rural/urban access, no-access population, per-capita final consumption and per-capita generation are complete for all 54 countries for 2018-2023.</x:v>
      </x:c>
    </x:row>
    <x:row r="5">
      <x:c r="A5" s="12" t="str">
        <x:v>Path-data completeness</x:v>
      </x:c>
      <x:c r="B5" s="12" t="str">
        <x:v>Non-renewable installed capacity and total installed capacity are complete for all 54 countries for 2018-2023.</x:v>
      </x:c>
    </x:row>
    <x:row r="6">
      <x:c r="A6" s="12" t="str">
        <x:v>Renewable-data rule</x:v>
      </x:c>
      <x:c r="B6" s="12" t="str">
        <x:v>All renewable-energy capacity, production, shares and watts-per-capita remain sourced exclusively from IRENA 2026. The power database does not replace IRENA renewable values.</x:v>
      </x:c>
    </x:row>
    <x:row r="7">
      <x:c r="A7" s="12" t="str">
        <x:v>South Africa caution</x:v>
      </x:c>
      <x:c r="B7" s="12" t="str">
        <x:v>Electricity-poverty correction alone cannot resolve South Africa. M5 therefore adds an objective non-renewable-capacity expansion penalty. This can reduce dual-track misclassification, but cannot fully represent coal-specific lock-in or policy strategy.</x:v>
      </x:c>
    </x:row>
    <x:row r="8">
      <x:c r="A8" s="12" t="str">
        <x:v>Excluded power-series</x:v>
      </x:c>
      <x:c r="B8" s="12" t="str">
        <x:v>Fossil-fuel generation from the supplemental database is not used in V2 because visible anomalies exist in some country-year observations (notably South Africa after 2018). Installed-capacity series is used instead.</x:v>
      </x:c>
    </x:row>
    <x:row r="9">
      <x:c r="A9" s="12" t="str">
        <x:v>Model sequence</x:v>
      </x:c>
      <x:c r="B9" s="12" t="str">
        <x:v>V2 indicators -&gt; CRITIC within L/D/M -&gt; TOPSIS L,D,M scores -&gt; Z-standardisation -&gt; K-means (K=3).</x:v>
      </x:c>
    </x:row>
  </x:sheetData>
  <x:pageMargins left="0.7" right="0.7" top="0.75" bottom="0.75" header="0.3" footer="0.3"/>
</x:worksheet>
</file>